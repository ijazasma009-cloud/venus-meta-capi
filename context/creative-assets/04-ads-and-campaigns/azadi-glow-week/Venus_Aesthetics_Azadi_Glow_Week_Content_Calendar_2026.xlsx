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bcd974886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 Overview" sheetId="1" r:id="R84a97da5f4ae491d"/>
    <x:sheet xmlns:r="http://schemas.openxmlformats.org/officeDocument/2006/relationships" name="Daily Calendar" sheetId="2" r:id="R1f764ce8b1264e9a"/>
    <x:sheet xmlns:r="http://schemas.openxmlformats.org/officeDocument/2006/relationships" name="Publishing Schedule" sheetId="3" r:id="Rd1b016fc07724b66"/>
    <x:sheet xmlns:r="http://schemas.openxmlformats.org/officeDocument/2006/relationships" name="Production Tracker" sheetId="4" r:id="R2cf57405c5034c26"/>
    <x:sheet xmlns:r="http://schemas.openxmlformats.org/officeDocument/2006/relationships" name="Copy Bank" sheetId="5" r:id="Rca7ce376283044fb"/>
  </x:sheets>
</x:workbook>
</file>

<file path=xl/comments1.xml><?xml version="1.0" encoding="utf-8"?>
<x:comments xmlns:x="http://schemas.openxmlformats.org/spreadsheetml/2006/main">
  <x:authors>
    <x:author>tc={14BCA875-211C-7C5F-D78C-12352D6E5AB5}</x:author>
  </x:authors>
  <x:commentList>
    <x:comment ref="I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Readiness counts Approved, Scheduled and Published production assets divided by total tracked assets.</x:t>
        </x:r>
      </x:text>
    </x:comment>
  </x:commentList>
</x:comments>
</file>

<file path=xl/comments2.xml><?xml version="1.0" encoding="utf-8"?>
<x:comments xmlns:x="http://schemas.openxmlformats.org/spreadsheetml/2006/main">
  <x:authors>
    <x:author>tc={51935452-84E9-9019-97BD-CC1E483B7E44}</x:author>
  </x:authors>
  <x:commentList>
    <x:comment ref="K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All pricing and treatment eligibility text must match the approved commercial matrix before publishing.</x:t>
        </x:r>
      </x:text>
    </x:comment>
  </x:commentList>
</x:comments>
</file>

<file path=xl/comments3.xml><?xml version="1.0" encoding="utf-8"?>
<x:comments xmlns:x="http://schemas.openxmlformats.org/spreadsheetml/2006/main">
  <x:authors>
    <x:author>tc={98DE305A-C6B9-5496-9822-A2476C7FE02F}</x:author>
  </x:authors>
  <x:commentList>
    <x:comment ref="J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Update status using the dropdown. Overview readiness updates automatically.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dd-mmm"/>
    <x:numFmt numFmtId="202" formatCode="yyyy-mm-dd"/>
  </x:numFmts>
  <x:fonts count="8">
    <x:font>
      <x:sz val="11"/>
      <x:name val="Carlito"/>
    </x:font>
    <x:font>
      <x:b/>
      <x:sz val="20"/>
      <x:color rgb="FFFFFFFF"/>
      <x:name val="Carlito"/>
    </x:font>
    <x:font>
      <x:i/>
      <x:sz val="10"/>
      <x:color rgb="FF4B286D"/>
      <x:name val="Carlito"/>
    </x:font>
    <x:font>
      <x:b/>
      <x:sz val="11"/>
      <x:color rgb="FF4B286D"/>
      <x:name val="Carlito"/>
    </x:font>
    <x:font>
      <x:b/>
      <x:sz val="18"/>
      <x:color rgb="FF27222B"/>
      <x:name val="Carlito"/>
    </x:font>
    <x:font>
      <x:b/>
      <x:sz val="11"/>
      <x:color rgb="FFFFFFFF"/>
      <x:name val="Carlito"/>
    </x:font>
    <x:font>
      <x:sz val="10"/>
      <x:color rgb="FF27222B"/>
      <x:name val="Carlito"/>
    </x:font>
    <x:font>
      <x:i/>
      <x:sz val="9"/>
      <x:color rgb="FF6B657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4B286D"/>
      </x:patternFill>
    </x:fill>
    <x:fill>
      <x:patternFill patternType="solid">
        <x:fgColor rgb="FFF3EDF7"/>
      </x:patternFill>
    </x:fill>
    <x:fill>
      <x:patternFill patternType="solid">
        <x:fgColor rgb="FFFFFFFF"/>
      </x:patternFill>
    </x:fill>
    <x:fill>
      <x:patternFill patternType="solid">
        <x:fgColor rgb="FF0B6B4B"/>
      </x:patternFill>
    </x:fill>
    <x:fill>
      <x:patternFill patternType="solid">
        <x:fgColor rgb="FFFAF7FC"/>
      </x:patternFill>
    </x:fill>
    <x:fill>
      <x:patternFill patternType="solid">
        <x:fgColor rgb="FFFFF2CC"/>
      </x:patternFill>
    </x:fill>
    <x:fill>
      <x:patternFill patternType="solid">
        <x:fgColor rgb="FFEAF5F0"/>
      </x:patternFill>
    </x:fill>
  </x:fills>
  <x:borders count="8">
    <x:border/>
    <x:border>
      <x:left style="thin">
        <x:color rgb="FFD9D2DE"/>
      </x:left>
      <x:top style="thin">
        <x:color rgb="FFD9D2DE"/>
      </x:top>
    </x:border>
    <x:border>
      <x:right style="thin">
        <x:color rgb="FFD9D2DE"/>
      </x:right>
      <x:top style="thin">
        <x:color rgb="FFD9D2DE"/>
      </x:top>
    </x:border>
    <x:border>
      <x:left style="thin">
        <x:color rgb="FFD9D2DE"/>
      </x:left>
      <x:bottom style="thin">
        <x:color rgb="FFD9D2DE"/>
      </x:bottom>
    </x:border>
    <x:border>
      <x:right style="thin">
        <x:color rgb="FFD9D2DE"/>
      </x:right>
      <x:bottom style="thin">
        <x:color rgb="FFD9D2DE"/>
      </x:bottom>
    </x:border>
    <x:border>
      <x:left style="thin">
        <x:color rgb="FFD9D2DE"/>
      </x:left>
      <x:right style="thin">
        <x:color rgb="FFD9D2DE"/>
      </x:right>
      <x:top style="thin">
        <x:color rgb="FFD9D2DE"/>
      </x:top>
      <x:bottom style="thin">
        <x:color rgb="FFD9D2DE"/>
      </x:bottom>
    </x:border>
    <x:border>
      <x:bottom style="thin">
        <x:color rgb="FFD9D2DE"/>
      </x:bottom>
    </x:border>
    <x:border>
      <x:top style="thin">
        <x:color rgb="FFD9D2DE"/>
      </x:top>
      <x:bottom style="thin">
        <x:color rgb="FFD9D2DE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200" fontId="4" fillId="4" borderId="1" xfId="0" applyNumberFormat="1" applyFont="1" applyFill="1" applyBorder="1" applyAlignment="1">
      <x:alignment horizontal="center" vertical="center"/>
    </x:xf>
    <x:xf numFmtId="200" fontId="4" fillId="4" borderId="2" xfId="0" applyNumberFormat="1" applyFont="1" applyFill="1" applyBorder="1" applyAlignment="1">
      <x:alignment horizontal="center" vertical="center"/>
    </x:xf>
    <x:xf numFmtId="200" fontId="4" fillId="4" borderId="3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/>
    <x:xf numFmtId="0" fontId="5" fillId="2" borderId="5" xfId="0" applyNumberFormat="1" applyFont="1" applyFill="1" applyBorder="1"/>
    <x:xf numFmtId="0" fontId="5" fillId="2" borderId="5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horizontal="left" wrapText="1"/>
    </x:xf>
    <x:xf numFmtId="0" fontId="5" fillId="2" borderId="5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200" fontId="6" fillId="0" borderId="6" xfId="0" applyNumberFormat="1" applyFont="1" applyFill="1" applyBorder="1" applyAlignment="1">
      <x:alignment vertical="top" wrapText="1"/>
    </x:xf>
    <x:xf numFmtId="200" fontId="6" fillId="0" borderId="7" xfId="0" applyNumberFormat="1" applyFont="1" applyFill="1" applyBorder="1" applyAlignment="1">
      <x:alignment vertical="top" wrapText="1"/>
    </x:xf>
    <x:xf numFmtId="201" fontId="6" fillId="0" borderId="6" xfId="0" applyNumberFormat="1" applyFont="1" applyFill="1" applyBorder="1" applyAlignment="1">
      <x:alignment vertical="top" wrapText="1"/>
    </x:xf>
    <x:xf numFmtId="201" fontId="6" fillId="0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202" fontId="6" fillId="0" borderId="6" xfId="0" applyNumberFormat="1" applyFont="1" applyFill="1" applyBorder="1" applyAlignment="1">
      <x:alignment vertical="top" wrapText="1"/>
    </x:xf>
    <x:xf numFmtId="202" fontId="6" fillId="0" borderId="7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8" borderId="6" xfId="0" applyNumberFormat="1" applyFont="1" applyFill="1" applyBorder="1" applyAlignment="1">
      <x:alignment vertical="top" wrapText="1"/>
    </x:xf>
    <x:xf numFmtId="0" fontId="6" fillId="8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19">
    <x:dxf>
      <x:font>
        <x:b/>
        <x:color rgb="FF0B6B4B"/>
      </x:font>
      <x:fill>
        <x:patternFill patternType="solid">
          <x:bgColor rgb="FFEAF5F0"/>
        </x:patternFill>
      </x:fill>
    </x:dxf>
    <x:dxf>
      <x:font>
        <x:b/>
        <x:color rgb="FFFFFFFF"/>
      </x:font>
      <x:fill>
        <x:patternFill patternType="solid">
          <x:bgColor rgb="FFA13B3B"/>
        </x:patternFill>
      </x:fill>
    </x:dxf>
    <x:dxf>
      <x:font>
        <x:b/>
        <x:color rgb="FF7A5A00"/>
      </x:font>
      <x:fill>
        <x:patternFill patternType="solid">
          <x:bgColor rgb="FFFFF7DF"/>
        </x:patternFill>
      </x:fill>
    </x:dxf>
    <x:dxf>
      <x:font>
        <x:color rgb="FF4B286D"/>
      </x:font>
      <x:fill>
        <x:patternFill patternType="solid">
          <x:bgColor rgb="FFF3EDF7"/>
        </x:patternFill>
      </x:fill>
    </x:dxf>
    <x:dxf>
      <x:font>
        <x:color rgb="FF6B6570"/>
      </x:font>
      <x:fill>
        <x:patternFill patternType="solid">
          <x:bgColor rgb="FFF1F1F1"/>
        </x:patternFill>
      </x:fill>
    </x:dxf>
    <x:dxf>
      <x:font>
        <x:color rgb="FFA13B3B"/>
      </x:font>
      <x:fill>
        <x:patternFill patternType="solid">
          <x:bgColor rgb="FFFBEAEA"/>
        </x:patternFill>
      </x:fill>
    </x:dxf>
    <x:dxf>
      <x:font>
        <x:color rgb="FF7A5A00"/>
      </x:font>
      <x:fill>
        <x:patternFill patternType="solid">
          <x:bgColor rgb="FFFFF7DF"/>
        </x:patternFill>
      </x:fill>
    </x:dxf>
    <x:dxf>
      <x:font>
        <x:color rgb="FF4B286D"/>
      </x:font>
      <x:fill>
        <x:patternFill patternType="solid">
          <x:bgColor rgb="FFF3EDF7"/>
        </x:patternFill>
      </x:fill>
    </x:dxf>
    <x:dxf>
      <x:font>
        <x:b/>
        <x:color rgb="FF0B6B4B"/>
      </x:font>
      <x:fill>
        <x:patternFill patternType="solid">
          <x:bgColor rgb="FFEAF5F0"/>
        </x:patternFill>
      </x:fill>
    </x:dxf>
    <x:dxf>
      <x:font>
        <x:b/>
        <x:color rgb="FF1F5A91"/>
      </x:font>
      <x:fill>
        <x:patternFill patternType="solid">
          <x:bgColor rgb="FFE8F1FB"/>
        </x:patternFill>
      </x:fill>
    </x:dxf>
    <x:dxf>
      <x:font>
        <x:b/>
        <x:color rgb="FFFFFFFF"/>
      </x:font>
      <x:fill>
        <x:patternFill patternType="solid">
          <x:bgColor rgb="FF0B6B4B"/>
        </x:patternFill>
      </x:fill>
    </x:dxf>
    <x:dxf>
      <x:font>
        <x:color rgb="FF6B6570"/>
      </x:font>
      <x:fill>
        <x:patternFill patternType="solid">
          <x:bgColor rgb="FFE7E5E9"/>
        </x:patternFill>
      </x:fill>
    </x:dxf>
    <x:dxf>
      <x:font>
        <x:color rgb="FFA13B3B"/>
      </x:font>
      <x:fill>
        <x:patternFill patternType="solid">
          <x:bgColor rgb="FFFBEAEA"/>
        </x:patternFill>
      </x:fill>
    </x:dxf>
    <x:dxf>
      <x:font>
        <x:color rgb="FF7A5A00"/>
      </x:font>
      <x:fill>
        <x:patternFill patternType="solid">
          <x:bgColor rgb="FFFFF7DF"/>
        </x:patternFill>
      </x:fill>
    </x:dxf>
    <x:dxf>
      <x:font>
        <x:color rgb="FF4B286D"/>
      </x:font>
      <x:fill>
        <x:patternFill patternType="solid">
          <x:bgColor rgb="FFF3EDF7"/>
        </x:patternFill>
      </x:fill>
    </x:dxf>
    <x:dxf>
      <x:font>
        <x:b/>
        <x:color rgb="FF0B6B4B"/>
      </x:font>
      <x:fill>
        <x:patternFill patternType="solid">
          <x:bgColor rgb="FFEAF5F0"/>
        </x:patternFill>
      </x:fill>
    </x:dxf>
    <x:dxf>
      <x:font>
        <x:b/>
        <x:color rgb="FF1F5A91"/>
      </x:font>
      <x:fill>
        <x:patternFill patternType="solid">
          <x:bgColor rgb="FFE8F1FB"/>
        </x:patternFill>
      </x:fill>
    </x:dxf>
    <x:dxf>
      <x:font>
        <x:b/>
        <x:color rgb="FFFFFFFF"/>
      </x:font>
      <x:fill>
        <x:patternFill patternType="solid">
          <x:bgColor rgb="FF0B6B4B"/>
        </x:patternFill>
      </x:fill>
    </x:dxf>
    <x:dxf>
      <x:font>
        <x:color rgb="FF6B6570"/>
      </x:font>
      <x:fill>
        <x:patternFill patternType="solid">
          <x:bgColor rgb="FFE7E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2dc9638bf540e7" /><Relationship Type="http://schemas.openxmlformats.org/officeDocument/2006/relationships/theme" Target="/xl/theme/theme1.xml" Id="Ra150c397ffd54d19" /><Relationship Type="http://schemas.openxmlformats.org/officeDocument/2006/relationships/sharedStrings" Target="/xl/sharedStrings.xml" Id="R9efde0fcd5b0461d" /><Relationship Type="http://schemas.openxmlformats.org/officeDocument/2006/relationships/worksheet" Target="/xl/worksheets/sheet1.xml" Id="R84a97da5f4ae491d" /><Relationship Type="http://schemas.openxmlformats.org/officeDocument/2006/relationships/worksheet" Target="/xl/worksheets/sheet2.xml" Id="R1f764ce8b1264e9a" /><Relationship Type="http://schemas.openxmlformats.org/officeDocument/2006/relationships/worksheet" Target="/xl/worksheets/sheet3.xml" Id="Rd1b016fc07724b66" /><Relationship Type="http://schemas.openxmlformats.org/officeDocument/2006/relationships/worksheet" Target="/xl/worksheets/sheet4.xml" Id="R2cf57405c5034c26" /><Relationship Type="http://schemas.openxmlformats.org/officeDocument/2006/relationships/worksheet" Target="/xl/worksheets/sheet5.xml" Id="Rca7ce376283044fb" /><Relationship Type="http://schemas.microsoft.com/office/2017/10/relationships/person" Target="/xl/persons/person.xml" Id="R8d4b5c3f1d1140cd" /></Relationships>
</file>

<file path=xl/persons/person.xml><?xml version="1.0" encoding="utf-8"?>
<xltc:personList xmlns:xltc="http://schemas.microsoft.com/office/spreadsheetml/2018/threadedcomments">
  <xltc:person displayName="Accounts Team" id="{6A485B93-A082-4808-8AD9-8366FEEB86E4}"/>
</xltc:personList>
</file>

<file path=xl/tables/table1.xml><?xml version="1.0" encoding="utf-8"?>
<x:table xmlns:x="http://schemas.openxmlformats.org/spreadsheetml/2006/main" id="1" name="DailyCalendarTable" displayName="DailyCalendarTable" ref="A4:J14" headerRowCount="1" totalsRowCount="0" totalsRowShown="0">
  <x:tableColumns count="10">
    <x:tableColumn id="1" name="Date"/>
    <x:tableColumn id="2" name="Day"/>
    <x:tableColumn id="3" name="Phase"/>
    <x:tableColumn id="4" name="Daily Focus"/>
    <x:tableColumn id="5" name="Main Feed Content"/>
    <x:tableColumn id="6" name="Story Flow"/>
    <x:tableColumn id="7" name="WhatsApp / CRM"/>
    <x:tableColumn id="8" name="Creator / Branch"/>
    <x:tableColumn id="9" name="Primary CTA"/>
    <x:tableColumn id="10" name="Paid Support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PublishingScheduleTable" displayName="PublishingScheduleTable" ref="A4:S46" headerRowCount="1" totalsRowCount="0" totalsRowShown="0">
  <x:tableColumns count="19">
    <x:tableColumn id="1" name="ID"/>
    <x:tableColumn id="2" name="Publish Date"/>
    <x:tableColumn id="3" name="Day"/>
    <x:tableColumn id="4" name="Time"/>
    <x:tableColumn id="5" name="Phase"/>
    <x:tableColumn id="6" name="Channel"/>
    <x:tableColumn id="7" name="Format"/>
    <x:tableColumn id="8" name="Pillar"/>
    <x:tableColumn id="9" name="Content Topic"/>
    <x:tableColumn id="10" name="Hook / Headline"/>
    <x:tableColumn id="11" name="Caption / Key Message"/>
    <x:tableColumn id="12" name="CTA"/>
    <x:tableColumn id="13" name="Asset Spec"/>
    <x:tableColumn id="14" name="Paid Support"/>
    <x:tableColumn id="15" name="Priority"/>
    <x:tableColumn id="16" name="Owner"/>
    <x:tableColumn id="17" name="Due Date"/>
    <x:tableColumn id="18" name="Status"/>
    <x:tableColumn id="19" name="Note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ProductionTrackerTable" displayName="ProductionTrackerTable" ref="A4:L26" headerRowCount="1" totalsRowCount="0" totalsRowShown="0">
  <x:tableColumns count="12">
    <x:tableColumn id="1" name="Asset ID"/>
    <x:tableColumn id="2" name="Asset"/>
    <x:tableColumn id="3" name="Variants"/>
    <x:tableColumn id="4" name="Copy Final"/>
    <x:tableColumn id="5" name="Production Due"/>
    <x:tableColumn id="6" name="Approval Due"/>
    <x:tableColumn id="7" name="Live Date"/>
    <x:tableColumn id="8" name="Owner"/>
    <x:tableColumn id="9" name="Reviewer"/>
    <x:tableColumn id="10" name="Status"/>
    <x:tableColumn id="11" name="Dependency"/>
    <x:tableColumn id="12" name="File Link / Note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CopyBankTable" displayName="CopyBankTable" ref="A4:G17" headerRowCount="1" totalsRowCount="0" totalsRowShown="0">
  <x:tableColumns count="7">
    <x:tableColumn id="1" name="Date / Use"/>
    <x:tableColumn id="2" name="Asset"/>
    <x:tableColumn id="3" name="Hook"/>
    <x:tableColumn id="4" name="Caption / Script"/>
    <x:tableColumn id="5" name="CTA"/>
    <x:tableColumn id="6" name="On-Screen Text"/>
    <x:tableColumn id="7" name="Compliance Not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I5" dT="2026-08-03T12:03:50.524" personId="{6A485B93-A082-4808-8AD9-8366FEEB86E4}" id="{14BCA875-211C-7C5F-D78C-12352D6E5AB5}">
    <xltc:text>Readiness counts Approved, Scheduled and Published production assets divided by total tracked assets.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K4" dT="2026-08-03T12:03:50.525" personId="{6A485B93-A082-4808-8AD9-8366FEEB86E4}" id="{51935452-84E9-9019-97BD-CC1E483B7E44}">
    <xltc:text>All pricing and treatment eligibility text must match the approved commercial matrix before publishing.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J4" dT="2026-08-03T12:03:50.525" personId="{6A485B93-A082-4808-8AD9-8366FEEB86E4}" id="{98DE305A-C6B9-5496-9822-A2476C7FE02F}">
    <xltc:text>Update status using the dropdown. Overview readiness updates automatically.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798612c7964420f" /><Relationship Type="http://schemas.openxmlformats.org/officeDocument/2006/relationships/vmlDrawing" Target="/xl/drawings/vmldrawing.vml" Id="Ree5fa61f49614fdd" /><Relationship Type="http://schemas.microsoft.com/office/2017/10/relationships/threadedComment" Target="/xl/threadedcomments/threadedcomment.xml" Id="R2a0a4a451b284c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9e72c04abb4f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d60b9413534b4fbd" /><Relationship Type="http://schemas.openxmlformats.org/officeDocument/2006/relationships/vmlDrawing" Target="/xl/drawings/vmldrawing2.vml" Id="R415072f27dc546fc" /><Relationship Type="http://schemas.microsoft.com/office/2017/10/relationships/threadedComment" Target="/xl/threadedcomments/threadedcomment2.xml" Id="Re2c9798e0502443c" /><Relationship Type="http://schemas.openxmlformats.org/officeDocument/2006/relationships/table" Target="/xl/tables/table2.xml" Id="R6f780a8d4e7349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9c59e1a66fce4f53" /><Relationship Type="http://schemas.openxmlformats.org/officeDocument/2006/relationships/vmlDrawing" Target="/xl/drawings/vmldrawing3.vml" Id="Raff2d3a2a5944797" /><Relationship Type="http://schemas.microsoft.com/office/2017/10/relationships/threadedComment" Target="/xl/threadedcomments/threadedcomment3.xml" Id="R2c750b68144e4b44" /><Relationship Type="http://schemas.openxmlformats.org/officeDocument/2006/relationships/table" Target="/xl/tables/table3.xml" Id="R0ccf3c5574d74b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182158697746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4" hidden="0" customWidth="1"/>
    <x:col min="5" max="5" width="28" hidden="0" customWidth="1"/>
    <x:col min="6" max="6" width="3" hidden="0" customWidth="1"/>
    <x:col min="7" max="7" width="12" hidden="0" customWidth="1"/>
    <x:col min="8" max="8" width="34" hidden="0" customWidth="1"/>
    <x:col min="9" max="9" width="24" hidden="0" customWidth="1"/>
    <x:col min="10" max="10" width="20" hidden="0" customWidth="1"/>
  </x:cols>
  <x:sheetData>
    <x:row r="1" ht="32" customHeight="1">
      <x:c r="A1" s="4" t="str">
        <x:v>VENUS AESTHETICS | AZADI GLOW WEEK CONTENT CALENDAR</x:v>
      </x:c>
      <x:c r="B1" s="4" t="str">
        <x:v>VENUS AESTHETICS | AZADI GLOW WEEK CONTENT CALENDAR</x:v>
      </x:c>
      <x:c r="C1" s="4" t="str">
        <x:v>VENUS AESTHETICS | AZADI GLOW WEEK CONTENT CALENDAR</x:v>
      </x:c>
      <x:c r="D1" s="4" t="str">
        <x:v>VENUS AESTHETICS | AZADI GLOW WEEK CONTENT CALENDAR</x:v>
      </x:c>
      <x:c r="E1" s="4" t="str">
        <x:v>VENUS AESTHETICS | AZADI GLOW WEEK CONTENT CALENDAR</x:v>
      </x:c>
      <x:c r="F1" s="4" t="str">
        <x:v>VENUS AESTHETICS | AZADI GLOW WEEK CONTENT CALENDAR</x:v>
      </x:c>
      <x:c r="G1" s="4" t="str">
        <x:v>VENUS AESTHETICS | AZADI GLOW WEEK CONTENT CALENDAR</x:v>
      </x:c>
      <x:c r="H1" s="4" t="str">
        <x:v>VENUS AESTHETICS | AZADI GLOW WEEK CONTENT CALENDAR</x:v>
      </x:c>
      <x:c r="I1" s="4" t="str">
        <x:v>VENUS AESTHETICS | AZADI GLOW WEEK CONTENT CALENDAR</x:v>
      </x:c>
      <x:c r="J1" s="4" t="str">
        <x:v>VENUS AESTHETICS | AZADI GLOW WEEK CONTENT CALENDAR</x:v>
      </x:c>
    </x:row>
    <x:row r="2" ht="24" customHeight="1">
      <x:c r="A2" s="8" t="str">
        <x:v>Pre-hype: 7-9 August 2026  |  Sale: 10-16 August 2026  |  Master CTA: WhatsApp</x:v>
      </x:c>
      <x:c r="B2" s="8" t="str">
        <x:v>Pre-hype: 7-9 August 2026  |  Sale: 10-16 August 2026  |  Master CTA: WhatsApp</x:v>
      </x:c>
      <x:c r="C2" s="8" t="str">
        <x:v>Pre-hype: 7-9 August 2026  |  Sale: 10-16 August 2026  |  Master CTA: WhatsApp</x:v>
      </x:c>
      <x:c r="D2" s="8" t="str">
        <x:v>Pre-hype: 7-9 August 2026  |  Sale: 10-16 August 2026  |  Master CTA: WhatsApp</x:v>
      </x:c>
      <x:c r="E2" s="8" t="str">
        <x:v>Pre-hype: 7-9 August 2026  |  Sale: 10-16 August 2026  |  Master CTA: WhatsApp</x:v>
      </x:c>
      <x:c r="F2" s="8" t="str">
        <x:v>Pre-hype: 7-9 August 2026  |  Sale: 10-16 August 2026  |  Master CTA: WhatsApp</x:v>
      </x:c>
      <x:c r="G2" s="8" t="str">
        <x:v>Pre-hype: 7-9 August 2026  |  Sale: 10-16 August 2026  |  Master CTA: WhatsApp</x:v>
      </x:c>
      <x:c r="H2" s="8" t="str">
        <x:v>Pre-hype: 7-9 August 2026  |  Sale: 10-16 August 2026  |  Master CTA: WhatsApp</x:v>
      </x:c>
      <x:c r="I2" s="8" t="str">
        <x:v>Pre-hype: 7-9 August 2026  |  Sale: 10-16 August 2026  |  Master CTA: WhatsApp</x:v>
      </x:c>
      <x:c r="J2" s="8" t="str">
        <x:v>Pre-hype: 7-9 August 2026  |  Sale: 10-16 August 2026  |  Master CTA: WhatsApp</x:v>
      </x:c>
    </x:row>
    <x:row r="4">
      <x:c r="A4" s="11" t="str">
        <x:v>TOTAL PUBLISHING ITEMS</x:v>
      </x:c>
      <x:c r="B4" s="11" t="str">
        <x:v>TOTAL PUBLISHING ITEMS</x:v>
      </x:c>
      <x:c r="C4" s="11" t="str">
        <x:v>FEED / REEL / CAROUSEL</x:v>
      </x:c>
      <x:c r="D4" s="11" t="str">
        <x:v>FEED / REEL / CAROUSEL</x:v>
      </x:c>
      <x:c r="E4" s="11" t="str">
        <x:v>STORY SEQUENCES</x:v>
      </x:c>
      <x:c r="F4" s="11" t="str">
        <x:v>STORY SEQUENCES</x:v>
      </x:c>
      <x:c r="G4" s="11" t="str">
        <x:v>WHATSAPP ACTIONS</x:v>
      </x:c>
      <x:c r="H4" s="11" t="str">
        <x:v>WHATSAPP ACTIONS</x:v>
      </x:c>
      <x:c r="I4" s="11" t="str">
        <x:v>LAUNCH READINESS</x:v>
      </x:c>
      <x:c r="J4" s="11" t="str">
        <x:v>LAUNCH READINESS</x:v>
      </x:c>
    </x:row>
    <x:row r="5">
      <x:c r="A5" s="22" t="n">
        <x:f>COUNTA('Publishing Schedule'!$A$5:$A$60)</x:f>
        <x:v>42</x:v>
      </x:c>
      <x:c r="B5" s="23"/>
      <x:c r="C5" s="22" t="n">
        <x:f>COUNTIF('Publishing Schedule'!$G$5:$G$60,"Reel")+COUNTIF('Publishing Schedule'!$G$5:$G$60,"Carousel")+COUNTIF('Publishing Schedule'!$G$5:$G$60,"Static")</x:f>
        <x:v>15</x:v>
      </x:c>
      <x:c r="D5" s="23"/>
      <x:c r="E5" s="22" t="n">
        <x:f>COUNTIF('Publishing Schedule'!$F$5:$F$60,"Instagram Stories")</x:f>
        <x:v>12</x:v>
      </x:c>
      <x:c r="F5" s="23"/>
      <x:c r="G5" s="22" t="n">
        <x:f>COUNTIF('Publishing Schedule'!$F$5:$F$60,"WhatsApp")</x:f>
        <x:v>9</x:v>
      </x:c>
      <x:c r="H5" s="23"/>
      <x:c r="I5" s="26" t="n">
        <x:f>(COUNTIF('Production Tracker'!$J$5:$J$40,"Approved")+COUNTIF('Production Tracker'!$J$5:$J$40,"Scheduled")+COUNTIF('Production Tracker'!$J$5:$J$40,"Published"))/COUNTA('Production Tracker'!$A$5:$A$40)</x:f>
        <x:v>0</x:v>
      </x:c>
      <x:c r="J5" s="27"/>
    </x:row>
    <x:row r="6">
      <x:c r="A6" s="24"/>
      <x:c r="B6" s="25"/>
      <x:c r="C6" s="24"/>
      <x:c r="D6" s="25"/>
      <x:c r="E6" s="24"/>
      <x:c r="F6" s="25"/>
      <x:c r="G6" s="24"/>
      <x:c r="H6" s="25"/>
      <x:c r="I6" s="28"/>
      <x:c r="J6" s="29"/>
    </x:row>
    <x:row r="8">
      <x:c r="A8" s="51" t="str">
        <x:v>CAMPAIGN PHASES</x:v>
      </x:c>
      <x:c r="B8" s="51" t="str">
        <x:v>CAMPAIGN PHASES</x:v>
      </x:c>
      <x:c r="C8" s="51" t="str">
        <x:v>CAMPAIGN PHASES</x:v>
      </x:c>
      <x:c r="D8" s="51" t="str">
        <x:v>CAMPAIGN PHASES</x:v>
      </x:c>
      <x:c r="E8" s="51" t="str">
        <x:v>CAMPAIGN PHASES</x:v>
      </x:c>
      <x:c r="F8" s="52"/>
      <x:c r="G8" s="53" t="str">
        <x:v>MESSAGE HIERARCHY</x:v>
      </x:c>
      <x:c r="H8" s="53" t="str">
        <x:v>MESSAGE HIERARCHY</x:v>
      </x:c>
      <x:c r="I8" s="53" t="str">
        <x:v>MESSAGE HIERARCHY</x:v>
      </x:c>
      <x:c r="J8" s="53" t="str">
        <x:v>MESSAGE HIERARCHY</x:v>
      </x:c>
    </x:row>
    <x:row r="9" ht="15" hidden="0" customHeight="1">
      <x:c r="A9" s="37" t="str">
        <x:v>Phase</x:v>
      </x:c>
      <x:c r="B9" s="37" t="str">
        <x:v>Dates</x:v>
      </x:c>
      <x:c r="C9" s="37" t="str">
        <x:v>Purpose</x:v>
      </x:c>
      <x:c r="D9" s="37" t="str">
        <x:v>Paid Share</x:v>
      </x:c>
      <x:c r="E9" s="37" t="str">
        <x:v>Primary Action</x:v>
      </x:c>
      <x:c r="F9" s="52"/>
      <x:c r="G9" s="37" t="str">
        <x:v>Order</x:v>
      </x:c>
      <x:c r="H9" s="37" t="str">
        <x:v>Message</x:v>
      </x:c>
      <x:c r="I9" s="37" t="str">
        <x:v>Usage</x:v>
      </x:c>
      <x:c r="J9" s="37" t="str">
        <x:v>Rule</x:v>
      </x:c>
    </x:row>
    <x:row r="10" ht="24" hidden="0" customHeight="1">
      <x:c r="A10" s="43" t="str">
        <x:v>Pre-hype</x:v>
      </x:c>
      <x:c r="B10" s="43" t="str">
        <x:v>7-9 Aug</x:v>
      </x:c>
      <x:c r="C10" s="43" t="str">
        <x:v>Curiosity, audience warming and early-interest capture</x:v>
      </x:c>
      <x:c r="D10" s="45" t="n">
        <x:v>0.15</x:v>
      </x:c>
      <x:c r="E10" s="43" t="str">
        <x:v>Countdown + AZADI keyword</x:v>
      </x:c>
      <x:c r="F10" s="52"/>
      <x:c r="G10" s="43" t="n">
        <x:v>1</x:v>
      </x:c>
      <x:c r="H10" s="43" t="str">
        <x:v>AZADI GLOW WEEK</x:v>
      </x:c>
      <x:c r="I10" s="43" t="str">
        <x:v>Campaign name</x:v>
      </x:c>
      <x:c r="J10" s="43" t="str">
        <x:v>Use consistently</x:v>
      </x:c>
    </x:row>
    <x:row r="11" ht="36" hidden="0" customHeight="1">
      <x:c r="A11" s="44" t="str">
        <x:v>Launch / Proof</x:v>
      </x:c>
      <x:c r="B11" s="44" t="str">
        <x:v>10-13 Aug</x:v>
      </x:c>
      <x:c r="C11" s="44" t="str">
        <x:v>Drive qualified WhatsApp conversations and explain value</x:v>
      </x:c>
      <x:c r="D11" s="46" t="n">
        <x:v>0.5</x:v>
      </x:c>
      <x:c r="E11" s="44" t="str">
        <x:v>Book / qualify</x:v>
      </x:c>
      <x:c r="F11" s="52"/>
      <x:c r="G11" s="44" t="n">
        <x:v>2</x:v>
      </x:c>
      <x:c r="H11" s="44" t="str">
        <x:v>UP TO 50% SAVINGS</x:v>
      </x:c>
      <x:c r="I11" s="44" t="str">
        <x:v>Selected bundles</x:v>
      </x:c>
      <x:c r="J11" s="44" t="str">
        <x:v>Show exact price / saving per bundle</x:v>
      </x:c>
    </x:row>
    <x:row r="12" ht="24" hidden="0" customHeight="1">
      <x:c r="A12" s="44" t="str">
        <x:v>Urgency</x:v>
      </x:c>
      <x:c r="B12" s="44" t="str">
        <x:v>14-16 Aug</x:v>
      </x:c>
      <x:c r="C12" s="44" t="str">
        <x:v>Scale winners and convert warm non-bookers</x:v>
      </x:c>
      <x:c r="D12" s="46" t="n">
        <x:v>0.35</x:v>
      </x:c>
      <x:c r="E12" s="44" t="str">
        <x:v>48-hour finale + close</x:v>
      </x:c>
      <x:c r="F12" s="52"/>
      <x:c r="G12" s="44" t="n">
        <x:v>3</x:v>
      </x:c>
      <x:c r="H12" s="44" t="str">
        <x:v>+ FLAT 20% OFF</x:v>
      </x:c>
      <x:c r="I12" s="44" t="str">
        <x:v>Eligible individual treatments</x:v>
      </x:c>
      <x:c r="J12" s="44" t="str">
        <x:v>Do not imply all treatments unless approved</x:v>
      </x:c>
    </x:row>
    <x:row r="13" ht="24" hidden="0" customHeight="1">
      <x:c r="A13" s="52"/>
      <x:c r="B13" s="52"/>
      <x:c r="C13" s="52"/>
      <x:c r="D13" s="52"/>
      <x:c r="E13" s="52"/>
      <x:c r="F13" s="52"/>
      <x:c r="G13" s="44" t="n">
        <x:v>4</x:v>
      </x:c>
      <x:c r="H13" s="44" t="str">
        <x:v>10-16 AUGUST</x:v>
      </x:c>
      <x:c r="I13" s="44" t="str">
        <x:v>Sale dates</x:v>
      </x:c>
      <x:c r="J13" s="44" t="str">
        <x:v>State exact closing time on final day</x:v>
      </x:c>
    </x:row>
    <x:row r="14" ht="15" hidden="0" customHeight="1">
      <x:c r="A14" s="52"/>
      <x:c r="B14" s="52"/>
      <x:c r="C14" s="52"/>
      <x:c r="D14" s="52"/>
      <x:c r="E14" s="52"/>
      <x:c r="F14" s="52"/>
      <x:c r="G14" s="44" t="n">
        <x:v>5</x:v>
      </x:c>
      <x:c r="H14" s="44" t="str">
        <x:v>BOOK ON WHATSAPP</x:v>
      </x:c>
      <x:c r="I14" s="44" t="str">
        <x:v>Primary CTA</x:v>
      </x:c>
      <x:c r="J14" s="44" t="str">
        <x:v>Route by city / branch</x:v>
      </x:c>
    </x:row>
    <x:row r="15" ht="15" hidden="0" customHeight="1">
      <x:c r="A15" s="54" t="str">
        <x:v>OPERATING TARGETS</x:v>
      </x:c>
      <x:c r="B15" s="54" t="str">
        <x:v>OPERATING TARGETS</x:v>
      </x:c>
      <x:c r="C15" s="54" t="str">
        <x:v>OPERATING TARGETS</x:v>
      </x:c>
      <x:c r="D15" s="54" t="str">
        <x:v>OPERATING TARGETS</x:v>
      </x:c>
      <x:c r="E15" s="54" t="str">
        <x:v>OPERATING TARGETS</x:v>
      </x:c>
      <x:c r="F15" s="52"/>
      <x:c r="G15" s="52"/>
      <x:c r="H15" s="52"/>
      <x:c r="I15" s="52"/>
      <x:c r="J15" s="52"/>
    </x:row>
    <x:row r="16" ht="15" hidden="0" customHeight="1">
      <x:c r="A16" s="37" t="str">
        <x:v>Metric</x:v>
      </x:c>
      <x:c r="B16" s="37" t="str">
        <x:v>Target</x:v>
      </x:c>
      <x:c r="C16" s="37" t="str">
        <x:v>Owner</x:v>
      </x:c>
      <x:c r="D16" s="37" t="str">
        <x:v>Check Time</x:v>
      </x:c>
      <x:c r="E16" s="37" t="str">
        <x:v>Action if missed</x:v>
      </x:c>
      <x:c r="F16" s="52"/>
      <x:c r="G16" s="54" t="str">
        <x:v>FINAL APPROVALS REQUIRED</x:v>
      </x:c>
      <x:c r="H16" s="54" t="str">
        <x:v>FINAL APPROVALS REQUIRED</x:v>
      </x:c>
      <x:c r="I16" s="54" t="str">
        <x:v>FINAL APPROVALS REQUIRED</x:v>
      </x:c>
      <x:c r="J16" s="54" t="str">
        <x:v>FINAL APPROVALS REQUIRED</x:v>
      </x:c>
    </x:row>
    <x:row r="17" ht="15" hidden="0" customHeight="1">
      <x:c r="A17" s="43" t="str">
        <x:v>Human response time</x:v>
      </x:c>
      <x:c r="B17" s="43" t="str">
        <x:v>Under 5 minutes</x:v>
      </x:c>
      <x:c r="C17" s="43" t="str">
        <x:v>CRM Team</x:v>
      </x:c>
      <x:c r="D17" s="43" t="str">
        <x:v>11:00 / 19:00</x:v>
      </x:c>
      <x:c r="E17" s="43" t="str">
        <x:v>Reduce spend and add coverage</x:v>
      </x:c>
      <x:c r="F17" s="52"/>
      <x:c r="G17" s="37" t="str">
        <x:v>Item</x:v>
      </x:c>
      <x:c r="H17" s="37" t="str">
        <x:v>Decision</x:v>
      </x:c>
      <x:c r="I17" s="37" t="str">
        <x:v>Owner</x:v>
      </x:c>
      <x:c r="J17" s="37" t="str">
        <x:v>Deadline</x:v>
      </x:c>
    </x:row>
    <x:row r="18" ht="24" hidden="0" customHeight="1">
      <x:c r="A18" s="44" t="str">
        <x:v>Qualified conversation rate</x:v>
      </x:c>
      <x:c r="B18" s="44" t="str">
        <x:v>60%+</x:v>
      </x:c>
      <x:c r="C18" s="44" t="str">
        <x:v>CRM Team</x:v>
      </x:c>
      <x:c r="D18" s="44" t="str">
        <x:v>Daily</x:v>
      </x:c>
      <x:c r="E18" s="44" t="str">
        <x:v>Tighten targeting / script</x:v>
      </x:c>
      <x:c r="F18" s="52"/>
      <x:c r="G18" s="43" t="str">
        <x:v>Bundle matrix</x:v>
      </x:c>
      <x:c r="H18" s="43" t="str">
        <x:v>Inclusions, regular price, Azadi price and exact saving</x:v>
      </x:c>
      <x:c r="I18" s="43" t="str">
        <x:v>Finance Reviewer</x:v>
      </x:c>
      <x:c r="J18" s="47" t="n">
        <x:v>46238</x:v>
      </x:c>
    </x:row>
    <x:row r="19" ht="15" hidden="0" customHeight="1">
      <x:c r="A19" s="44" t="str">
        <x:v>Qualified-to-booked rate</x:v>
      </x:c>
      <x:c r="B19" s="44" t="str">
        <x:v>25-35% starting goal</x:v>
      </x:c>
      <x:c r="C19" s="44" t="str">
        <x:v>Marketing Lead</x:v>
      </x:c>
      <x:c r="D19" s="44" t="str">
        <x:v>Daily</x:v>
      </x:c>
      <x:c r="E19" s="44" t="str">
        <x:v>Review objections and offer clarity</x:v>
      </x:c>
      <x:c r="F19" s="52"/>
      <x:c r="G19" s="44" t="str">
        <x:v>20% eligibility</x:v>
      </x:c>
      <x:c r="H19" s="44" t="str">
        <x:v>Approved individual-treatment list and exclusions</x:v>
      </x:c>
      <x:c r="I19" s="44" t="str">
        <x:v>Clinical Reviewer</x:v>
      </x:c>
      <x:c r="J19" s="48" t="n">
        <x:v>46238</x:v>
      </x:c>
    </x:row>
    <x:row r="20" ht="15" hidden="0" customHeight="1">
      <x:c r="A20" s="44" t="str">
        <x:v>Price accuracy</x:v>
      </x:c>
      <x:c r="B20" s="44" t="str">
        <x:v>100%</x:v>
      </x:c>
      <x:c r="C20" s="44" t="str">
        <x:v>Finance Reviewer</x:v>
      </x:c>
      <x:c r="D20" s="44" t="str">
        <x:v>Before every publish</x:v>
      </x:c>
      <x:c r="E20" s="44" t="str">
        <x:v>Pause and correct affected assets</x:v>
      </x:c>
      <x:c r="F20" s="52"/>
      <x:c r="G20" s="44" t="str">
        <x:v>Branch capacity</x:v>
      </x:c>
      <x:c r="H20" s="44" t="str">
        <x:v>Doctors, devices, slots and blackout dates</x:v>
      </x:c>
      <x:c r="I20" s="44" t="str">
        <x:v>Branch Manager</x:v>
      </x:c>
      <x:c r="J20" s="48" t="n">
        <x:v>46239</x:v>
      </x:c>
    </x:row>
    <x:row r="21" ht="24" hidden="0" customHeight="1">
      <x:c r="A21" s="44" t="str">
        <x:v>Public extension</x:v>
      </x:c>
      <x:c r="B21" s="44" t="str">
        <x:v>None</x:v>
      </x:c>
      <x:c r="C21" s="44" t="str">
        <x:v>Marketing Lead</x:v>
      </x:c>
      <x:c r="D21" s="44" t="str">
        <x:v>After 16 Aug</x:v>
      </x:c>
      <x:c r="E21" s="44" t="str">
        <x:v>Use only documented pre-deadline recovery</x:v>
      </x:c>
      <x:c r="F21" s="52"/>
      <x:c r="G21" s="44" t="str">
        <x:v>Booking terms</x:v>
      </x:c>
      <x:c r="H21" s="44" t="str">
        <x:v>Advance, reschedule, validity and refund rules</x:v>
      </x:c>
      <x:c r="I21" s="44" t="str">
        <x:v>Marketing Lead</x:v>
      </x:c>
      <x:c r="J21" s="48" t="n">
        <x:v>46239</x:v>
      </x:c>
    </x:row>
    <x:row r="22" ht="24" hidden="0" customHeight="1">
      <x:c r="A22" s="52"/>
      <x:c r="B22" s="52"/>
      <x:c r="C22" s="52"/>
      <x:c r="D22" s="52"/>
      <x:c r="E22" s="52"/>
      <x:c r="F22" s="52"/>
      <x:c r="G22" s="44" t="str">
        <x:v>Closing rule</x:v>
      </x:c>
      <x:c r="H22" s="44" t="str">
        <x:v>Exact final-day closing time and no-extension policy</x:v>
      </x:c>
      <x:c r="I22" s="44" t="str">
        <x:v>Marketing Lead</x:v>
      </x:c>
      <x:c r="J22" s="48" t="n">
        <x:v>46240</x:v>
      </x:c>
    </x:row>
    <x:row r="23" ht="15" hidden="0" customHeight="1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</x:row>
    <x:row r="24" ht="15" hidden="0" customHeight="1">
      <x:c r="A24" s="55" t="str">
        <x:v>Source: Venus_Aesthetics_Azadi_Glow_Week_Campaign_Plan_2026.docx | Campaign prepared 3 August 2026</x:v>
      </x:c>
      <x:c r="B24" s="55" t="str">
        <x:v>Source: Venus_Aesthetics_Azadi_Glow_Week_Campaign_Plan_2026.docx | Campaign prepared 3 August 2026</x:v>
      </x:c>
      <x:c r="C24" s="55" t="str">
        <x:v>Source: Venus_Aesthetics_Azadi_Glow_Week_Campaign_Plan_2026.docx | Campaign prepared 3 August 2026</x:v>
      </x:c>
      <x:c r="D24" s="55" t="str">
        <x:v>Source: Venus_Aesthetics_Azadi_Glow_Week_Campaign_Plan_2026.docx | Campaign prepared 3 August 2026</x:v>
      </x:c>
      <x:c r="E24" s="55" t="str">
        <x:v>Source: Venus_Aesthetics_Azadi_Glow_Week_Campaign_Plan_2026.docx | Campaign prepared 3 August 2026</x:v>
      </x:c>
      <x:c r="F24" s="55" t="str">
        <x:v>Source: Venus_Aesthetics_Azadi_Glow_Week_Campaign_Plan_2026.docx | Campaign prepared 3 August 2026</x:v>
      </x:c>
      <x:c r="G24" s="55" t="str">
        <x:v>Source: Venus_Aesthetics_Azadi_Glow_Week_Campaign_Plan_2026.docx | Campaign prepared 3 August 2026</x:v>
      </x:c>
      <x:c r="H24" s="55" t="str">
        <x:v>Source: Venus_Aesthetics_Azadi_Glow_Week_Campaign_Plan_2026.docx | Campaign prepared 3 August 2026</x:v>
      </x:c>
      <x:c r="I24" s="55" t="str">
        <x:v>Source: Venus_Aesthetics_Azadi_Glow_Week_Campaign_Plan_2026.docx | Campaign prepared 3 August 2026</x:v>
      </x:c>
      <x:c r="J24" s="55" t="str">
        <x:v>Source: Venus_Aesthetics_Azadi_Glow_Week_Campaign_Plan_2026.docx | Campaign prepared 3 August 2026</x:v>
      </x:c>
    </x:row>
  </x:sheetData>
  <x:mergeCells>
    <x:mergeCell ref="A1:J1"/>
    <x:mergeCell ref="A2:J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A8:E8"/>
    <x:mergeCell ref="G8:J8"/>
    <x:mergeCell ref="A15:E15"/>
    <x:mergeCell ref="G16:J16"/>
    <x:mergeCell ref="A24:J24"/>
  </x:mergeCells>
  <x:pageMargins left="0.7" right="0.7" top="0.75" bottom="0.75" header="0.3" footer="0.3"/>
  <x:legacyDrawing xmlns:r="http://schemas.openxmlformats.org/officeDocument/2006/relationships" r:id="Ree5fa61f49614fd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6" hidden="0" customWidth="1"/>
    <x:col min="4" max="4" width="22" hidden="0" customWidth="1"/>
    <x:col min="5" max="5" width="42" hidden="0" customWidth="1"/>
    <x:col min="6" max="6" width="43" hidden="0" customWidth="1"/>
    <x:col min="7" max="7" width="38" hidden="0" customWidth="1"/>
    <x:col min="8" max="8" width="38" hidden="0" customWidth="1"/>
    <x:col min="9" max="9" width="31" hidden="0" customWidth="1"/>
    <x:col min="10" max="10" width="32" hidden="0" customWidth="1"/>
  </x:cols>
  <x:sheetData>
    <x:row r="1" ht="32" customHeight="1">
      <x:c r="A1" s="4" t="str">
        <x:v>10-DAY MASTER CONTENT CALENDAR</x:v>
      </x:c>
      <x:c r="B1" s="4" t="str">
        <x:v>10-DAY MASTER CONTENT CALENDAR</x:v>
      </x:c>
      <x:c r="C1" s="4" t="str">
        <x:v>10-DAY MASTER CONTENT CALENDAR</x:v>
      </x:c>
      <x:c r="D1" s="4" t="str">
        <x:v>10-DAY MASTER CONTENT CALENDAR</x:v>
      </x:c>
      <x:c r="E1" s="4" t="str">
        <x:v>10-DAY MASTER CONTENT CALENDAR</x:v>
      </x:c>
      <x:c r="F1" s="4" t="str">
        <x:v>10-DAY MASTER CONTENT CALENDAR</x:v>
      </x:c>
      <x:c r="G1" s="4" t="str">
        <x:v>10-DAY MASTER CONTENT CALENDAR</x:v>
      </x:c>
      <x:c r="H1" s="4" t="str">
        <x:v>10-DAY MASTER CONTENT CALENDAR</x:v>
      </x:c>
      <x:c r="I1" s="4" t="str">
        <x:v>10-DAY MASTER CONTENT CALENDAR</x:v>
      </x:c>
      <x:c r="J1" s="4" t="str">
        <x:v>10-DAY MASTER CONTENT CALENDAR</x:v>
      </x:c>
    </x:row>
    <x:row r="2" ht="24" customHeight="1">
      <x:c r="A2" s="8" t="str">
        <x:v>One clear daily focus, supported by Stories, WhatsApp, creators, branch activity and paid media</x:v>
      </x:c>
      <x:c r="B2" s="8" t="str">
        <x:v>One clear daily focus, supported by Stories, WhatsApp, creators, branch activity and paid media</x:v>
      </x:c>
      <x:c r="C2" s="8" t="str">
        <x:v>One clear daily focus, supported by Stories, WhatsApp, creators, branch activity and paid media</x:v>
      </x:c>
      <x:c r="D2" s="8" t="str">
        <x:v>One clear daily focus, supported by Stories, WhatsApp, creators, branch activity and paid media</x:v>
      </x:c>
      <x:c r="E2" s="8" t="str">
        <x:v>One clear daily focus, supported by Stories, WhatsApp, creators, branch activity and paid media</x:v>
      </x:c>
      <x:c r="F2" s="8" t="str">
        <x:v>One clear daily focus, supported by Stories, WhatsApp, creators, branch activity and paid media</x:v>
      </x:c>
      <x:c r="G2" s="8" t="str">
        <x:v>One clear daily focus, supported by Stories, WhatsApp, creators, branch activity and paid media</x:v>
      </x:c>
      <x:c r="H2" s="8" t="str">
        <x:v>One clear daily focus, supported by Stories, WhatsApp, creators, branch activity and paid media</x:v>
      </x:c>
      <x:c r="I2" s="8" t="str">
        <x:v>One clear daily focus, supported by Stories, WhatsApp, creators, branch activity and paid media</x:v>
      </x:c>
      <x:c r="J2" s="8" t="str">
        <x:v>One clear daily focus, supported by Stories, WhatsApp, creators, branch activity and paid media</x:v>
      </x:c>
    </x:row>
    <x:row r="4" ht="30" customHeight="1">
      <x:c r="A4" s="37" t="str">
        <x:v>Date</x:v>
      </x:c>
      <x:c r="B4" s="37" t="str">
        <x:v>Day</x:v>
      </x:c>
      <x:c r="C4" s="37" t="str">
        <x:v>Phase</x:v>
      </x:c>
      <x:c r="D4" s="37" t="str">
        <x:v>Daily Focus</x:v>
      </x:c>
      <x:c r="E4" s="37" t="str">
        <x:v>Main Feed Content</x:v>
      </x:c>
      <x:c r="F4" s="37" t="str">
        <x:v>Story Flow</x:v>
      </x:c>
      <x:c r="G4" s="37" t="str">
        <x:v>WhatsApp / CRM</x:v>
      </x:c>
      <x:c r="H4" s="37" t="str">
        <x:v>Creator / Branch</x:v>
      </x:c>
      <x:c r="I4" s="37" t="str">
        <x:v>Primary CTA</x:v>
      </x:c>
      <x:c r="J4" s="37" t="str">
        <x:v>Paid Support</x:v>
      </x:c>
    </x:row>
    <x:row r="5" ht="68" customHeight="1">
      <x:c r="A5" s="47" t="n">
        <x:v>46241</x:v>
      </x:c>
      <x:c r="B5" s="43" t="str">
        <x:v>Friday</x:v>
      </x:c>
      <x:c r="C5" s="43" t="str">
        <x:v>Pre-hype</x:v>
      </x:c>
      <x:c r="D5" s="43" t="str">
        <x:v>The first signal</x:v>
      </x:c>
      <x:c r="E5" s="43" t="str">
        <x:v>7-10 sec mystery Reel: '7 days. One Venus event. 10.08.26.'</x:v>
      </x:c>
      <x:c r="F5" s="43" t="str">
        <x:v>Countdown, category poll, BTS frame</x:v>
      </x:c>
      <x:c r="G5" s="43" t="str">
        <x:v>Status only; no full broadcast</x:v>
      </x:c>
      <x:c r="H5" s="43" t="str">
        <x:v>Staff use approved teaser response</x:v>
      </x:c>
      <x:c r="I5" s="43" t="str">
        <x:v>Follow Venus and turn on countdown</x:v>
      </x:c>
      <x:c r="J5" s="43" t="str">
        <x:v>Video views / awareness</x:v>
      </x:c>
    </x:row>
    <x:row r="6" ht="68" customHeight="1">
      <x:c r="A6" s="48" t="n">
        <x:v>46242</x:v>
      </x:c>
      <x:c r="B6" s="44" t="str">
        <x:v>Saturday</x:v>
      </x:c>
      <x:c r="C6" s="44" t="str">
        <x:v>Pre-hype</x:v>
      </x:c>
      <x:c r="D6" s="44" t="str">
        <x:v>Value categories</x:v>
      </x:c>
      <x:c r="E6" s="44" t="str">
        <x:v>Reel: selected Skin, Laser, Hair and Body savings are coming</x:v>
      </x:c>
      <x:c r="F6" s="44" t="str">
        <x:v>Four-category poll, question box, creator reposts</x:v>
      </x:c>
      <x:c r="G6" s="44" t="str">
        <x:v>Build early-interest list by city</x:v>
      </x:c>
      <x:c r="H6" s="44" t="str">
        <x:v>3-5 local creators tease the reveal</x:v>
      </x:c>
      <x:c r="I6" s="44" t="str">
        <x:v>Reply AZADI + city</x:v>
      </x:c>
      <x:c r="J6" s="44" t="str">
        <x:v>Continue awareness; build warm viewers</x:v>
      </x:c>
    </x:row>
    <x:row r="7" ht="68" customHeight="1">
      <x:c r="A7" s="48" t="n">
        <x:v>46243</x:v>
      </x:c>
      <x:c r="B7" s="44" t="str">
        <x:v>Sunday</x:v>
      </x:c>
      <x:c r="C7" s="44" t="str">
        <x:v>Reveal</x:v>
      </x:c>
      <x:c r="D7" s="44" t="str">
        <x:v>Full reveal at 8:00 pm</x:v>
      </x:c>
      <x:c r="E7" s="44" t="str">
        <x:v>Hero reveal Reel + campaign carousel</x:v>
      </x:c>
      <x:c r="F7" s="44" t="str">
        <x:v>Hourly countdown, bundle previews, FAQ, link</x:v>
      </x:c>
      <x:c r="G7" s="44" t="str">
        <x:v>Reveal broadcast to segmented contacts</x:v>
      </x:c>
      <x:c r="H7" s="44" t="str">
        <x:v>Branches confirm price sheet and roster by 7 pm</x:v>
      </x:c>
      <x:c r="I7" s="44" t="str">
        <x:v>Message AZADI + city</x:v>
      </x:c>
      <x:c r="J7" s="44" t="str">
        <x:v>Retarget teaser viewers</x:v>
      </x:c>
    </x:row>
    <x:row r="8" ht="68" customHeight="1">
      <x:c r="A8" s="48" t="n">
        <x:v>46244</x:v>
      </x:c>
      <x:c r="B8" s="44" t="str">
        <x:v>Monday</x:v>
      </x:c>
      <x:c r="C8" s="44" t="str">
        <x:v>Launch</x:v>
      </x:c>
      <x:c r="D8" s="44" t="str">
        <x:v>Campaign goes live</x:v>
      </x:c>
      <x:c r="E8" s="44" t="str">
        <x:v>Hero Reel 10 am + full-offer carousel 2 pm</x:v>
      </x:c>
      <x:c r="F8" s="44" t="str">
        <x:v>Offer summary, links, staff greetings, booking proof</x:v>
      </x:c>
      <x:c r="G8" s="44" t="str">
        <x:v>Launch broadcast; immediate routing and labels</x:v>
      </x:c>
      <x:c r="H8" s="44" t="str">
        <x:v>Opening huddle; same offer sheet online and in branch</x:v>
      </x:c>
      <x:c r="I8" s="44" t="str">
        <x:v>Book your Azadi Glow Week slot</x:v>
      </x:c>
      <x:c r="J8" s="44" t="str">
        <x:v>Prospecting + click-to-WhatsApp</x:v>
      </x:c>
    </x:row>
    <x:row r="9" ht="68" customHeight="1">
      <x:c r="A9" s="48" t="n">
        <x:v>46245</x:v>
      </x:c>
      <x:c r="B9" s="44" t="str">
        <x:v>Tuesday</x:v>
      </x:c>
      <x:c r="C9" s="44" t="str">
        <x:v>Launch / Proof</x:v>
      </x:c>
      <x:c r="D9" s="44" t="str">
        <x:v>Bundle value</x:v>
      </x:c>
      <x:c r="E9" s="44" t="str">
        <x:v>Bundle breakdown carousel / advisor video</x:v>
      </x:c>
      <x:c r="F9" s="44" t="str">
        <x:v>One bundle per frame, Q&amp;A, capacity update</x:v>
      </x:c>
      <x:c r="G9" s="44" t="str">
        <x:v>Follow up launch-day undecided leads</x:v>
      </x:c>
      <x:c r="H9" s="44" t="str">
        <x:v>Advisors log objections</x:v>
      </x:c>
      <x:c r="I9" s="44" t="str">
        <x:v>Tell us your goal and city</x:v>
      </x:c>
      <x:c r="J9" s="44" t="str">
        <x:v>Test bundle angle</x:v>
      </x:c>
    </x:row>
    <x:row r="10" ht="68" customHeight="1">
      <x:c r="A10" s="48" t="n">
        <x:v>46246</x:v>
      </x:c>
      <x:c r="B10" s="44" t="str">
        <x:v>Wednesday</x:v>
      </x:c>
      <x:c r="C10" s="44" t="str">
        <x:v>Launch / Proof</x:v>
      </x:c>
      <x:c r="D10" s="44" t="str">
        <x:v>Flat 20% treatment day</x:v>
      </x:c>
      <x:c r="E10" s="44" t="str">
        <x:v>Eligibility explainer Reel + approved-treatment carousel</x:v>
      </x:c>
      <x:c r="F10" s="44" t="str">
        <x:v>Category tiles, practitioner clip, poll, booking link</x:v>
      </x:c>
      <x:c r="G10" s="44" t="str">
        <x:v>Send eligibility card to single-treatment leads</x:v>
      </x:c>
      <x:c r="H10" s="44" t="str">
        <x:v>Reception uses approved list only</x:v>
      </x:c>
      <x:c r="I10" s="44" t="str">
        <x:v>Ask if your treatment is included</x:v>
      </x:c>
      <x:c r="J10" s="44" t="str">
        <x:v>Test 20% angle separately</x:v>
      </x:c>
    </x:row>
    <x:row r="11" ht="68" customHeight="1">
      <x:c r="A11" s="48" t="n">
        <x:v>46247</x:v>
      </x:c>
      <x:c r="B11" s="44" t="str">
        <x:v>Thursday</x:v>
      </x:c>
      <x:c r="C11" s="44" t="str">
        <x:v>Trust / Recovery</x:v>
      </x:c>
      <x:c r="D11" s="44" t="str">
        <x:v>Trust and FAQ</x:v>
      </x:c>
      <x:c r="E11" s="44" t="str">
        <x:v>Doctor FAQ Reel + consented testimonial</x:v>
      </x:c>
      <x:c r="F11" s="44" t="str">
        <x:v>Question box, clinic tour, team, Q&amp;A clips</x:v>
      </x:c>
      <x:c r="G11" s="44" t="str">
        <x:v>Recover all qualified unbooked leads</x:v>
      </x:c>
      <x:c r="H11" s="44" t="str">
        <x:v>Audit weekend capacity and open chats</x:v>
      </x:c>
      <x:c r="I11" s="44" t="str">
        <x:v>Speak to a Venus advisor</x:v>
      </x:c>
      <x:c r="J11" s="44" t="str">
        <x:v>Warm retargeting with trust creative</x:v>
      </x:c>
    </x:row>
    <x:row r="12" ht="68" customHeight="1">
      <x:c r="A12" s="48" t="n">
        <x:v>46248</x:v>
      </x:c>
      <x:c r="B12" s="44" t="str">
        <x:v>Friday</x:v>
      </x:c>
      <x:c r="C12" s="44" t="str">
        <x:v>Urgency</x:v>
      </x:c>
      <x:c r="D12" s="44" t="str">
        <x:v>Independence hero day</x:v>
      </x:c>
      <x:c r="E12" s="44" t="str">
        <x:v>Founder / doctor message with respectful minimal Azadi styling</x:v>
      </x:c>
      <x:c r="F12" s="44" t="str">
        <x:v>Branch celebrations, staff clips, bookings, FAQ</x:v>
      </x:c>
      <x:c r="G12" s="44" t="str">
        <x:v>Short greeting + offer reminder</x:v>
      </x:c>
      <x:c r="H12" s="44" t="str">
        <x:v>Creator / branch experience content</x:v>
      </x:c>
      <x:c r="I12" s="44" t="str">
        <x:v>Celebrate your choice; book by 16 Aug</x:v>
      </x:c>
      <x:c r="J12" s="44" t="str">
        <x:v>Scale winning city / creative pairs</x:v>
      </x:c>
    </x:row>
    <x:row r="13" ht="68" customHeight="1">
      <x:c r="A13" s="48" t="n">
        <x:v>46249</x:v>
      </x:c>
      <x:c r="B13" s="44" t="str">
        <x:v>Saturday</x:v>
      </x:c>
      <x:c r="C13" s="44" t="str">
        <x:v>Urgency</x:v>
      </x:c>
      <x:c r="D13" s="44" t="str">
        <x:v>48-hour Flash Finale</x:v>
      </x:c>
      <x:c r="E13" s="44" t="str">
        <x:v>Countdown Reel: offer ends Sunday</x:v>
      </x:c>
      <x:c r="F13" s="44" t="str">
        <x:v>Countdown, categories, objections, proof</x:v>
      </x:c>
      <x:c r="G13" s="44" t="str">
        <x:v>Final-weekend broadcast to unbooked segments</x:v>
      </x:c>
      <x:c r="H13" s="44" t="str">
        <x:v>Evening response coverage; pricing owner online</x:v>
      </x:c>
      <x:c r="I13" s="44" t="str">
        <x:v>Two days left: AZADI + city</x:v>
      </x:c>
      <x:c r="J13" s="44" t="str">
        <x:v>Retarget warm non-bookers</x:v>
      </x:c>
    </x:row>
    <x:row r="14" ht="68" customHeight="1">
      <x:c r="A14" s="48" t="n">
        <x:v>46250</x:v>
      </x:c>
      <x:c r="B14" s="44" t="str">
        <x:v>Sunday</x:v>
      </x:c>
      <x:c r="C14" s="44" t="str">
        <x:v>Final Day</x:v>
      </x:c>
      <x:c r="D14" s="44" t="str">
        <x:v>Close the campaign</x:v>
      </x:c>
      <x:c r="E14" s="44" t="str">
        <x:v>Morning last-call Reel + evening closing card</x:v>
      </x:c>
      <x:c r="F14" s="44" t="str">
        <x:v>Morning, 6-hour, 3-hour and 1-hour countdown</x:v>
      </x:c>
      <x:c r="G14" s="44" t="str">
        <x:v>Personal follow-up for every qualified open lead</x:v>
      </x:c>
      <x:c r="H14" s="44" t="str">
        <x:v>Managers reconcile bookings and payments</x:v>
      </x:c>
      <x:c r="I14" s="44" t="str">
        <x:v>Complete booking before closing time</x:v>
      </x:c>
      <x:c r="J14" s="44" t="str">
        <x:v>High-intent retargeting only</x:v>
      </x:c>
    </x:row>
  </x:sheetData>
  <x:mergeCells>
    <x:mergeCell ref="A1:J1"/>
    <x:mergeCell ref="A2:J2"/>
  </x:mergeCells>
  <x:conditionalFormatting sqref="A5:A14">
    <x:cfRule type="timePeriod" dxfId="0" priority="1" timePeriod="today"/>
  </x:conditionalFormatting>
  <x:pageMargins left="0.7" right="0.7" top="0.75" bottom="0.75" header="0.3" footer="0.3"/>
  <x:tableParts count="1">
    <x:tablePart xmlns:r="http://schemas.openxmlformats.org/officeDocument/2006/relationships" r:id="Ra89e72c04abb4f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1" hidden="0" customWidth="1"/>
    <x:col min="4" max="4" width="16" hidden="0" customWidth="1"/>
    <x:col min="5" max="5" width="17" hidden="0" customWidth="1"/>
    <x:col min="6" max="6" width="22" hidden="0" customWidth="1"/>
    <x:col min="7" max="7" width="18" hidden="0" customWidth="1"/>
    <x:col min="8" max="8" width="18" hidden="0" customWidth="1"/>
    <x:col min="9" max="9" width="27" hidden="0" customWidth="1"/>
    <x:col min="10" max="10" width="32" hidden="0" customWidth="1"/>
    <x:col min="11" max="11" width="46" hidden="0" customWidth="1"/>
    <x:col min="12" max="12" width="28" hidden="0" customWidth="1"/>
    <x:col min="13" max="13" width="22" hidden="0" customWidth="1"/>
    <x:col min="14" max="14" width="22" hidden="0" customWidth="1"/>
    <x:col min="15" max="15" width="12" hidden="0" customWidth="1"/>
    <x:col min="16" max="16" width="22" hidden="0" customWidth="1"/>
    <x:col min="17" max="17" width="13" hidden="0" customWidth="1"/>
    <x:col min="18" max="18" width="18" hidden="0" customWidth="1"/>
    <x:col min="19" max="19" width="33" hidden="0" customWidth="1"/>
  </x:cols>
  <x:sheetData>
    <x:row r="1" ht="32" customHeight="1">
      <x:c r="A1" s="4" t="str">
        <x:v>GRANULAR PUBLISHING SCHEDULE</x:v>
      </x:c>
      <x:c r="B1" s="4" t="str">
        <x:v>GRANULAR PUBLISHING SCHEDULE</x:v>
      </x:c>
      <x:c r="C1" s="4" t="str">
        <x:v>GRANULAR PUBLISHING SCHEDULE</x:v>
      </x:c>
      <x:c r="D1" s="4" t="str">
        <x:v>GRANULAR PUBLISHING SCHEDULE</x:v>
      </x:c>
      <x:c r="E1" s="4" t="str">
        <x:v>GRANULAR PUBLISHING SCHEDULE</x:v>
      </x:c>
      <x:c r="F1" s="4" t="str">
        <x:v>GRANULAR PUBLISHING SCHEDULE</x:v>
      </x:c>
      <x:c r="G1" s="4" t="str">
        <x:v>GRANULAR PUBLISHING SCHEDULE</x:v>
      </x:c>
      <x:c r="H1" s="4" t="str">
        <x:v>GRANULAR PUBLISHING SCHEDULE</x:v>
      </x:c>
      <x:c r="I1" s="4" t="str">
        <x:v>GRANULAR PUBLISHING SCHEDULE</x:v>
      </x:c>
      <x:c r="J1" s="4" t="str">
        <x:v>GRANULAR PUBLISHING SCHEDULE</x:v>
      </x:c>
      <x:c r="K1" s="4" t="str">
        <x:v>GRANULAR PUBLISHING SCHEDULE</x:v>
      </x:c>
      <x:c r="L1" s="4" t="str">
        <x:v>GRANULAR PUBLISHING SCHEDULE</x:v>
      </x:c>
      <x:c r="M1" s="4" t="str">
        <x:v>GRANULAR PUBLISHING SCHEDULE</x:v>
      </x:c>
      <x:c r="N1" s="4" t="str">
        <x:v>GRANULAR PUBLISHING SCHEDULE</x:v>
      </x:c>
      <x:c r="O1" s="4" t="str">
        <x:v>GRANULAR PUBLISHING SCHEDULE</x:v>
      </x:c>
      <x:c r="P1" s="4" t="str">
        <x:v>GRANULAR PUBLISHING SCHEDULE</x:v>
      </x:c>
      <x:c r="Q1" s="4" t="str">
        <x:v>GRANULAR PUBLISHING SCHEDULE</x:v>
      </x:c>
      <x:c r="R1" s="4" t="str">
        <x:v>GRANULAR PUBLISHING SCHEDULE</x:v>
      </x:c>
      <x:c r="S1" s="4" t="str">
        <x:v>GRANULAR PUBLISHING SCHEDULE</x:v>
      </x:c>
    </x:row>
    <x:row r="2" ht="24" customHeight="1">
      <x:c r="A2" s="8" t="str">
        <x:v>Editable execution tracker | Filter by date, channel, owner, priority or status</x:v>
      </x:c>
      <x:c r="B2" s="8" t="str">
        <x:v>Editable execution tracker | Filter by date, channel, owner, priority or status</x:v>
      </x:c>
      <x:c r="C2" s="8" t="str">
        <x:v>Editable execution tracker | Filter by date, channel, owner, priority or status</x:v>
      </x:c>
      <x:c r="D2" s="8" t="str">
        <x:v>Editable execution tracker | Filter by date, channel, owner, priority or status</x:v>
      </x:c>
      <x:c r="E2" s="8" t="str">
        <x:v>Editable execution tracker | Filter by date, channel, owner, priority or status</x:v>
      </x:c>
      <x:c r="F2" s="8" t="str">
        <x:v>Editable execution tracker | Filter by date, channel, owner, priority or status</x:v>
      </x:c>
      <x:c r="G2" s="8" t="str">
        <x:v>Editable execution tracker | Filter by date, channel, owner, priority or status</x:v>
      </x:c>
      <x:c r="H2" s="8" t="str">
        <x:v>Editable execution tracker | Filter by date, channel, owner, priority or status</x:v>
      </x:c>
      <x:c r="I2" s="8" t="str">
        <x:v>Editable execution tracker | Filter by date, channel, owner, priority or status</x:v>
      </x:c>
      <x:c r="J2" s="8" t="str">
        <x:v>Editable execution tracker | Filter by date, channel, owner, priority or status</x:v>
      </x:c>
      <x:c r="K2" s="8" t="str">
        <x:v>Editable execution tracker | Filter by date, channel, owner, priority or status</x:v>
      </x:c>
      <x:c r="L2" s="8" t="str">
        <x:v>Editable execution tracker | Filter by date, channel, owner, priority or status</x:v>
      </x:c>
      <x:c r="M2" s="8" t="str">
        <x:v>Editable execution tracker | Filter by date, channel, owner, priority or status</x:v>
      </x:c>
      <x:c r="N2" s="8" t="str">
        <x:v>Editable execution tracker | Filter by date, channel, owner, priority or status</x:v>
      </x:c>
      <x:c r="O2" s="8" t="str">
        <x:v>Editable execution tracker | Filter by date, channel, owner, priority or status</x:v>
      </x:c>
      <x:c r="P2" s="8" t="str">
        <x:v>Editable execution tracker | Filter by date, channel, owner, priority or status</x:v>
      </x:c>
      <x:c r="Q2" s="8" t="str">
        <x:v>Editable execution tracker | Filter by date, channel, owner, priority or status</x:v>
      </x:c>
      <x:c r="R2" s="8" t="str">
        <x:v>Editable execution tracker | Filter by date, channel, owner, priority or status</x:v>
      </x:c>
      <x:c r="S2" s="8" t="str">
        <x:v>Editable execution tracker | Filter by date, channel, owner, priority or status</x:v>
      </x:c>
    </x:row>
    <x:row r="4" ht="30" customHeight="1">
      <x:c r="A4" s="37" t="str">
        <x:v>ID</x:v>
      </x:c>
      <x:c r="B4" s="37" t="str">
        <x:v>Publish Date</x:v>
      </x:c>
      <x:c r="C4" s="37" t="str">
        <x:v>Day</x:v>
      </x:c>
      <x:c r="D4" s="37" t="str">
        <x:v>Time</x:v>
      </x:c>
      <x:c r="E4" s="37" t="str">
        <x:v>Phase</x:v>
      </x:c>
      <x:c r="F4" s="37" t="str">
        <x:v>Channel</x:v>
      </x:c>
      <x:c r="G4" s="37" t="str">
        <x:v>Format</x:v>
      </x:c>
      <x:c r="H4" s="37" t="str">
        <x:v>Pillar</x:v>
      </x:c>
      <x:c r="I4" s="37" t="str">
        <x:v>Content Topic</x:v>
      </x:c>
      <x:c r="J4" s="37" t="str">
        <x:v>Hook / Headline</x:v>
      </x:c>
      <x:c r="K4" s="37" t="str">
        <x:v>Caption / Key Message</x:v>
      </x:c>
      <x:c r="L4" s="37" t="str">
        <x:v>CTA</x:v>
      </x:c>
      <x:c r="M4" s="37" t="str">
        <x:v>Asset Spec</x:v>
      </x:c>
      <x:c r="N4" s="37" t="str">
        <x:v>Paid Support</x:v>
      </x:c>
      <x:c r="O4" s="37" t="str">
        <x:v>Priority</x:v>
      </x:c>
      <x:c r="P4" s="37" t="str">
        <x:v>Owner</x:v>
      </x:c>
      <x:c r="Q4" s="37" t="str">
        <x:v>Due Date</x:v>
      </x:c>
      <x:c r="R4" s="37" t="str">
        <x:v>Status</x:v>
      </x:c>
      <x:c r="S4" s="37" t="str">
        <x:v>Notes</x:v>
      </x:c>
    </x:row>
    <x:row r="5" ht="54" customHeight="1">
      <x:c r="A5" s="43" t="str">
        <x:v>AZ-0701</x:v>
      </x:c>
      <x:c r="B5" s="56" t="n">
        <x:v>46241</x:v>
      </x:c>
      <x:c r="C5" s="43" t="str">
        <x:v>Friday</x:v>
      </x:c>
      <x:c r="D5" s="43" t="str">
        <x:v>11:00</x:v>
      </x:c>
      <x:c r="E5" s="43" t="str">
        <x:v>Pre-hype</x:v>
      </x:c>
      <x:c r="F5" s="43" t="str">
        <x:v>Instagram + Facebook</x:v>
      </x:c>
      <x:c r="G5" s="43" t="str">
        <x:v>Reel</x:v>
      </x:c>
      <x:c r="H5" s="43" t="str">
        <x:v>Awareness</x:v>
      </x:c>
      <x:c r="I5" s="43" t="str">
        <x:v>Mystery teaser</x:v>
      </x:c>
      <x:c r="J5" s="43" t="str">
        <x:v>7 days. One Venus event.</x:v>
      </x:c>
      <x:c r="K5" s="43" t="str">
        <x:v>Something premium is opening on 10 August. Follow for the reveal.</x:v>
      </x:c>
      <x:c r="L5" s="43" t="str">
        <x:v>Turn on countdown</x:v>
      </x:c>
      <x:c r="M5" s="43" t="str">
        <x:v>9:16 video</x:v>
      </x:c>
      <x:c r="N5" s="43" t="str">
        <x:v>Yes - awareness</x:v>
      </x:c>
      <x:c r="O5" s="43" t="str">
        <x:v>Critical</x:v>
      </x:c>
      <x:c r="P5" s="58" t="str">
        <x:v>Video Editor</x:v>
      </x:c>
      <x:c r="Q5" s="47" t="n">
        <x:v>46239</x:v>
      </x:c>
      <x:c r="R5" s="58" t="str">
        <x:v>Not Started</x:v>
      </x:c>
      <x:c r="S5" s="58" t="str">
        <x:v>Use clinic details; no full offer</x:v>
      </x:c>
    </x:row>
    <x:row r="6" ht="54" customHeight="1">
      <x:c r="A6" s="44" t="str">
        <x:v>AZ-0702</x:v>
      </x:c>
      <x:c r="B6" s="57" t="n">
        <x:v>46241</x:v>
      </x:c>
      <x:c r="C6" s="44" t="str">
        <x:v>Friday</x:v>
      </x:c>
      <x:c r="D6" s="44" t="str">
        <x:v>14:00 / 19:00</x:v>
      </x:c>
      <x:c r="E6" s="44" t="str">
        <x:v>Pre-hype</x:v>
      </x:c>
      <x:c r="F6" s="44" t="str">
        <x:v>Instagram Stories</x:v>
      </x:c>
      <x:c r="G6" s="44" t="str">
        <x:v>Story Sequence</x:v>
      </x:c>
      <x:c r="H6" s="44" t="str">
        <x:v>Engagement</x:v>
      </x:c>
      <x:c r="I6" s="44" t="str">
        <x:v>Countdown + poll</x:v>
      </x:c>
      <x:c r="J6" s="44" t="str">
        <x:v>What would you choose?</x:v>
      </x:c>
      <x:c r="K6" s="44" t="str">
        <x:v>Skin / Laser / Hair / Body poll plus one BTS frame.</x:v>
      </x:c>
      <x:c r="L6" s="44" t="str">
        <x:v>Vote and follow</x:v>
      </x:c>
      <x:c r="M6" s="44" t="str">
        <x:v>9:16, 5 frames</x:v>
      </x:c>
      <x:c r="N6" s="44" t="str">
        <x:v>No</x:v>
      </x:c>
      <x:c r="O6" s="44" t="str">
        <x:v>High</x:v>
      </x:c>
      <x:c r="P6" s="59" t="str">
        <x:v>Social Media Manager</x:v>
      </x:c>
      <x:c r="Q6" s="48" t="n">
        <x:v>46240</x:v>
      </x:c>
      <x:c r="R6" s="59" t="str">
        <x:v>Not Started</x:v>
      </x:c>
      <x:c r="S6" s="59" t="str">
        <x:v>Save responders for 8 Aug follow-up</x:v>
      </x:c>
    </x:row>
    <x:row r="7" ht="54" customHeight="1">
      <x:c r="A7" s="44" t="str">
        <x:v>AZ-0703</x:v>
      </x:c>
      <x:c r="B7" s="57" t="n">
        <x:v>46241</x:v>
      </x:c>
      <x:c r="C7" s="44" t="str">
        <x:v>Friday</x:v>
      </x:c>
      <x:c r="D7" s="44" t="str">
        <x:v>20:00</x:v>
      </x:c>
      <x:c r="E7" s="44" t="str">
        <x:v>Pre-hype</x:v>
      </x:c>
      <x:c r="F7" s="44" t="str">
        <x:v>WhatsApp</x:v>
      </x:c>
      <x:c r="G7" s="44" t="str">
        <x:v>Status</x:v>
      </x:c>
      <x:c r="H7" s="44" t="str">
        <x:v>Awareness</x:v>
      </x:c>
      <x:c r="I7" s="44" t="str">
        <x:v>First teaser</x:v>
      </x:c>
      <x:c r="J7" s="44" t="str">
        <x:v>One week. One Venus event.</x:v>
      </x:c>
      <x:c r="K7" s="44" t="str">
        <x:v>Full details will be revealed on 9 August.</x:v>
      </x:c>
      <x:c r="L7" s="44" t="str">
        <x:v>Save the date</x:v>
      </x:c>
      <x:c r="M7" s="44" t="str">
        <x:v>1080x1920</x:v>
      </x:c>
      <x:c r="N7" s="44" t="str">
        <x:v>No</x:v>
      </x:c>
      <x:c r="O7" s="44" t="str">
        <x:v>Medium</x:v>
      </x:c>
      <x:c r="P7" s="59" t="str">
        <x:v>CRM Team</x:v>
      </x:c>
      <x:c r="Q7" s="48" t="n">
        <x:v>46240</x:v>
      </x:c>
      <x:c r="R7" s="59" t="str">
        <x:v>Not Started</x:v>
      </x:c>
      <x:c r="S7" s="59" t="str">
        <x:v>Status only; no broadcast</x:v>
      </x:c>
    </x:row>
    <x:row r="8" ht="54" customHeight="1">
      <x:c r="A8" s="44" t="str">
        <x:v>AZ-0801</x:v>
      </x:c>
      <x:c r="B8" s="57" t="n">
        <x:v>46242</x:v>
      </x:c>
      <x:c r="C8" s="44" t="str">
        <x:v>Saturday</x:v>
      </x:c>
      <x:c r="D8" s="44" t="str">
        <x:v>12:00</x:v>
      </x:c>
      <x:c r="E8" s="44" t="str">
        <x:v>Pre-hype</x:v>
      </x:c>
      <x:c r="F8" s="44" t="str">
        <x:v>Instagram + Facebook</x:v>
      </x:c>
      <x:c r="G8" s="44" t="str">
        <x:v>Reel</x:v>
      </x:c>
      <x:c r="H8" s="44" t="str">
        <x:v>Offer Clarity</x:v>
      </x:c>
      <x:c r="I8" s="44" t="str">
        <x:v>Category reveal</x:v>
      </x:c>
      <x:c r="J8" s="44" t="str">
        <x:v>Skin. Laser. Hair. Body.</x:v>
      </x:c>
      <x:c r="K8" s="44" t="str">
        <x:v>Selected Venus treatment categories are joining Azadi Glow Week. Full reveal tomorrow.</x:v>
      </x:c>
      <x:c r="L8" s="44" t="str">
        <x:v>Reply AZADI + city</x:v>
      </x:c>
      <x:c r="M8" s="44" t="str">
        <x:v>9:16 video</x:v>
      </x:c>
      <x:c r="N8" s="44" t="str">
        <x:v>Yes - awareness</x:v>
      </x:c>
      <x:c r="O8" s="44" t="str">
        <x:v>Critical</x:v>
      </x:c>
      <x:c r="P8" s="59" t="str">
        <x:v>Video Editor</x:v>
      </x:c>
      <x:c r="Q8" s="48" t="n">
        <x:v>46240</x:v>
      </x:c>
      <x:c r="R8" s="59" t="str">
        <x:v>Not Started</x:v>
      </x:c>
      <x:c r="S8" s="59" t="str">
        <x:v>Do not publish unapproved prices</x:v>
      </x:c>
    </x:row>
    <x:row r="9" ht="54" customHeight="1">
      <x:c r="A9" s="44" t="str">
        <x:v>AZ-0802</x:v>
      </x:c>
      <x:c r="B9" s="57" t="n">
        <x:v>46242</x:v>
      </x:c>
      <x:c r="C9" s="44" t="str">
        <x:v>Saturday</x:v>
      </x:c>
      <x:c r="D9" s="44" t="str">
        <x:v>14:00 / 18:00</x:v>
      </x:c>
      <x:c r="E9" s="44" t="str">
        <x:v>Pre-hype</x:v>
      </x:c>
      <x:c r="F9" s="44" t="str">
        <x:v>Instagram Stories</x:v>
      </x:c>
      <x:c r="G9" s="44" t="str">
        <x:v>Story Sequence</x:v>
      </x:c>
      <x:c r="H9" s="44" t="str">
        <x:v>Engagement</x:v>
      </x:c>
      <x:c r="I9" s="44" t="str">
        <x:v>Category preference</x:v>
      </x:c>
      <x:c r="J9" s="44" t="str">
        <x:v>Which plan should be included?</x:v>
      </x:c>
      <x:c r="K9" s="44" t="str">
        <x:v>Four category frames, question box and early-interest prompt.</x:v>
      </x:c>
      <x:c r="L9" s="44" t="str">
        <x:v>Send AZADI + city</x:v>
      </x:c>
      <x:c r="M9" s="44" t="str">
        <x:v>9:16, 6 frames</x:v>
      </x:c>
      <x:c r="N9" s="44" t="str">
        <x:v>No</x:v>
      </x:c>
      <x:c r="O9" s="44" t="str">
        <x:v>High</x:v>
      </x:c>
      <x:c r="P9" s="59" t="str">
        <x:v>Social Media Manager</x:v>
      </x:c>
      <x:c r="Q9" s="48" t="n">
        <x:v>46241</x:v>
      </x:c>
      <x:c r="R9" s="59" t="str">
        <x:v>Not Started</x:v>
      </x:c>
      <x:c r="S9" s="59" t="str">
        <x:v>Segment replies by category</x:v>
      </x:c>
    </x:row>
    <x:row r="10" ht="54" customHeight="1">
      <x:c r="A10" s="44" t="str">
        <x:v>AZ-0803</x:v>
      </x:c>
      <x:c r="B10" s="57" t="n">
        <x:v>46242</x:v>
      </x:c>
      <x:c r="C10" s="44" t="str">
        <x:v>Saturday</x:v>
      </x:c>
      <x:c r="D10" s="44" t="str">
        <x:v>18:00-22:00</x:v>
      </x:c>
      <x:c r="E10" s="44" t="str">
        <x:v>Pre-hype</x:v>
      </x:c>
      <x:c r="F10" s="44" t="str">
        <x:v>Creator</x:v>
      </x:c>
      <x:c r="G10" s="44" t="str">
        <x:v>Story</x:v>
      </x:c>
      <x:c r="H10" s="44" t="str">
        <x:v>Awareness</x:v>
      </x:c>
      <x:c r="I10" s="44" t="str">
        <x:v>Creator whisper</x:v>
      </x:c>
      <x:c r="J10" s="44" t="str">
        <x:v>Something special is coming at Venus.</x:v>
      </x:c>
      <x:c r="K10" s="44" t="str">
        <x:v>Tag Venus, use countdown and invite early-interest replies.</x:v>
      </x:c>
      <x:c r="L10" s="44" t="str">
        <x:v>Follow Venus</x:v>
      </x:c>
      <x:c r="M10" s="44" t="str">
        <x:v>9:16 creator Story</x:v>
      </x:c>
      <x:c r="N10" s="44" t="str">
        <x:v>Optional amplification</x:v>
      </x:c>
      <x:c r="O10" s="44" t="str">
        <x:v>High</x:v>
      </x:c>
      <x:c r="P10" s="59" t="str">
        <x:v>Creator Manager</x:v>
      </x:c>
      <x:c r="Q10" s="48" t="n">
        <x:v>46240</x:v>
      </x:c>
      <x:c r="R10" s="59" t="str">
        <x:v>Not Started</x:v>
      </x:c>
      <x:c r="S10" s="59" t="str">
        <x:v>3-5 credible creators per priority city</x:v>
      </x:c>
    </x:row>
    <x:row r="11" ht="54" customHeight="1">
      <x:c r="A11" s="44" t="str">
        <x:v>AZ-0901</x:v>
      </x:c>
      <x:c r="B11" s="57" t="n">
        <x:v>46243</x:v>
      </x:c>
      <x:c r="C11" s="44" t="str">
        <x:v>Sunday</x:v>
      </x:c>
      <x:c r="D11" s="44" t="str">
        <x:v>12:00-19:30</x:v>
      </x:c>
      <x:c r="E11" s="44" t="str">
        <x:v>Reveal</x:v>
      </x:c>
      <x:c r="F11" s="44" t="str">
        <x:v>Instagram Stories</x:v>
      </x:c>
      <x:c r="G11" s="44" t="str">
        <x:v>Story Sequence</x:v>
      </x:c>
      <x:c r="H11" s="44" t="str">
        <x:v>Urgency</x:v>
      </x:c>
      <x:c r="I11" s="44" t="str">
        <x:v>Reveal countdown</x:v>
      </x:c>
      <x:c r="J11" s="44" t="str">
        <x:v>Tonight at 8:00 pm.</x:v>
      </x:c>
      <x:c r="K11" s="44" t="str">
        <x:v>Hourly countdown, categories, FAQ and WhatsApp link.</x:v>
      </x:c>
      <x:c r="L11" s="44" t="str">
        <x:v>Return for reveal</x:v>
      </x:c>
      <x:c r="M11" s="44" t="str">
        <x:v>9:16, 7 frames</x:v>
      </x:c>
      <x:c r="N11" s="44" t="str">
        <x:v>No</x:v>
      </x:c>
      <x:c r="O11" s="44" t="str">
        <x:v>Critical</x:v>
      </x:c>
      <x:c r="P11" s="59" t="str">
        <x:v>Social Media Manager</x:v>
      </x:c>
      <x:c r="Q11" s="48" t="n">
        <x:v>46242</x:v>
      </x:c>
      <x:c r="R11" s="59" t="str">
        <x:v>Not Started</x:v>
      </x:c>
      <x:c r="S11" s="59" t="str">
        <x:v>Do not leak offer early</x:v>
      </x:c>
    </x:row>
    <x:row r="12" ht="54" customHeight="1">
      <x:c r="A12" s="44" t="str">
        <x:v>AZ-0902</x:v>
      </x:c>
      <x:c r="B12" s="57" t="n">
        <x:v>46243</x:v>
      </x:c>
      <x:c r="C12" s="44" t="str">
        <x:v>Sunday</x:v>
      </x:c>
      <x:c r="D12" s="44" t="str">
        <x:v>20:00</x:v>
      </x:c>
      <x:c r="E12" s="44" t="str">
        <x:v>Reveal</x:v>
      </x:c>
      <x:c r="F12" s="44" t="str">
        <x:v>Instagram + Facebook</x:v>
      </x:c>
      <x:c r="G12" s="44" t="str">
        <x:v>Reel</x:v>
      </x:c>
      <x:c r="H12" s="44" t="str">
        <x:v>Offer Clarity</x:v>
      </x:c>
      <x:c r="I12" s="44" t="str">
        <x:v>Full reveal</x:v>
      </x:c>
      <x:c r="J12" s="44" t="str">
        <x:v>AZADI GLOW WEEK | 10-16 AUGUST</x:v>
      </x:c>
      <x:c r="K12" s="44" t="str">
        <x:v>Up to 50% savings on selected bundles + flat 20% off eligible individual treatments.</x:v>
      </x:c>
      <x:c r="L12" s="44" t="str">
        <x:v>Message AZADI + city</x:v>
      </x:c>
      <x:c r="M12" s="44" t="str">
        <x:v>9:16 video</x:v>
      </x:c>
      <x:c r="N12" s="44" t="str">
        <x:v>Yes - warm retarget</x:v>
      </x:c>
      <x:c r="O12" s="44" t="str">
        <x:v>Critical</x:v>
      </x:c>
      <x:c r="P12" s="59" t="str">
        <x:v>Video Editor</x:v>
      </x:c>
      <x:c r="Q12" s="48" t="n">
        <x:v>46240</x:v>
      </x:c>
      <x:c r="R12" s="59" t="str">
        <x:v>Not Started</x:v>
      </x:c>
      <x:c r="S12" s="59" t="str">
        <x:v>Pin from 10 Aug</x:v>
      </x:c>
    </x:row>
    <x:row r="13" ht="54" customHeight="1">
      <x:c r="A13" s="44" t="str">
        <x:v>AZ-0903</x:v>
      </x:c>
      <x:c r="B13" s="57" t="n">
        <x:v>46243</x:v>
      </x:c>
      <x:c r="C13" s="44" t="str">
        <x:v>Sunday</x:v>
      </x:c>
      <x:c r="D13" s="44" t="str">
        <x:v>20:05</x:v>
      </x:c>
      <x:c r="E13" s="44" t="str">
        <x:v>Reveal</x:v>
      </x:c>
      <x:c r="F13" s="44" t="str">
        <x:v>Instagram + Facebook</x:v>
      </x:c>
      <x:c r="G13" s="44" t="str">
        <x:v>Carousel</x:v>
      </x:c>
      <x:c r="H13" s="44" t="str">
        <x:v>Offer Clarity</x:v>
      </x:c>
      <x:c r="I13" s="44" t="str">
        <x:v>Campaign overview</x:v>
      </x:c>
      <x:c r="J13" s="44" t="str">
        <x:v>Seven days. Two ways to save.</x:v>
      </x:c>
      <x:c r="K13" s="44" t="str">
        <x:v>Slides: campaign name, offer layers, dates, categories, booking action and terms.</x:v>
      </x:c>
      <x:c r="L13" s="44" t="str">
        <x:v>Book on WhatsApp</x:v>
      </x:c>
      <x:c r="M13" s="44" t="str">
        <x:v>4:5, 6 slides</x:v>
      </x:c>
      <x:c r="N13" s="44" t="str">
        <x:v>Yes - retarget</x:v>
      </x:c>
      <x:c r="O13" s="44" t="str">
        <x:v>Critical</x:v>
      </x:c>
      <x:c r="P13" s="59" t="str">
        <x:v>Designer</x:v>
      </x:c>
      <x:c r="Q13" s="48" t="n">
        <x:v>46240</x:v>
      </x:c>
      <x:c r="R13" s="59" t="str">
        <x:v>Not Started</x:v>
      </x:c>
      <x:c r="S13" s="59" t="str">
        <x:v>Use exact approved wording</x:v>
      </x:c>
    </x:row>
    <x:row r="14" ht="54" customHeight="1">
      <x:c r="A14" s="44" t="str">
        <x:v>AZ-0904</x:v>
      </x:c>
      <x:c r="B14" s="57" t="n">
        <x:v>46243</x:v>
      </x:c>
      <x:c r="C14" s="44" t="str">
        <x:v>Sunday</x:v>
      </x:c>
      <x:c r="D14" s="44" t="str">
        <x:v>20:15</x:v>
      </x:c>
      <x:c r="E14" s="44" t="str">
        <x:v>Reveal</x:v>
      </x:c>
      <x:c r="F14" s="44" t="str">
        <x:v>WhatsApp</x:v>
      </x:c>
      <x:c r="G14" s="44" t="str">
        <x:v>Broadcast</x:v>
      </x:c>
      <x:c r="H14" s="44" t="str">
        <x:v>Conversion</x:v>
      </x:c>
      <x:c r="I14" s="44" t="str">
        <x:v>Early-interest reveal</x:v>
      </x:c>
      <x:c r="J14" s="44" t="str">
        <x:v>Azadi Glow Week is revealed.</x:v>
      </x:c>
      <x:c r="K14" s="44" t="str">
        <x:v>Offer, dates, branch routing and AZADI keyword.</x:v>
      </x:c>
      <x:c r="L14" s="44" t="str">
        <x:v>Reply AZADI + city</x:v>
      </x:c>
      <x:c r="M14" s="44" t="str">
        <x:v>Text + 4:5 card</x:v>
      </x:c>
      <x:c r="N14" s="44" t="str">
        <x:v>No</x:v>
      </x:c>
      <x:c r="O14" s="44" t="str">
        <x:v>Critical</x:v>
      </x:c>
      <x:c r="P14" s="59" t="str">
        <x:v>CRM Team</x:v>
      </x:c>
      <x:c r="Q14" s="48" t="n">
        <x:v>46242</x:v>
      </x:c>
      <x:c r="R14" s="59" t="str">
        <x:v>Not Started</x:v>
      </x:c>
      <x:c r="S14" s="59" t="str">
        <x:v>Existing / opted-in contacts only</x:v>
      </x:c>
    </x:row>
    <x:row r="15" ht="54" customHeight="1">
      <x:c r="A15" s="44" t="str">
        <x:v>AZ-0905</x:v>
      </x:c>
      <x:c r="B15" s="57" t="n">
        <x:v>46243</x:v>
      </x:c>
      <x:c r="C15" s="44" t="str">
        <x:v>Sunday</x:v>
      </x:c>
      <x:c r="D15" s="44" t="str">
        <x:v>20:15</x:v>
      </x:c>
      <x:c r="E15" s="44" t="str">
        <x:v>Reveal</x:v>
      </x:c>
      <x:c r="F15" s="44" t="str">
        <x:v>Meta Ads</x:v>
      </x:c>
      <x:c r="G15" s="44" t="str">
        <x:v>Paid Activation</x:v>
      </x:c>
      <x:c r="H15" s="44" t="str">
        <x:v>Conversion</x:v>
      </x:c>
      <x:c r="I15" s="44" t="str">
        <x:v>Warm reveal retargeting</x:v>
      </x:c>
      <x:c r="J15" s="44" t="str">
        <x:v>Azadi Glow Week has been revealed.</x:v>
      </x:c>
      <x:c r="K15" s="44" t="str">
        <x:v>Retarget 7-8 Aug viewers and engagers with reveal creative.</x:v>
      </x:c>
      <x:c r="L15" s="44" t="str">
        <x:v>Send WhatsApp message</x:v>
      </x:c>
      <x:c r="M15" s="44" t="str">
        <x:v>Reel + carousel</x:v>
      </x:c>
      <x:c r="N15" s="44" t="str">
        <x:v>Yes</x:v>
      </x:c>
      <x:c r="O15" s="44" t="str">
        <x:v>Critical</x:v>
      </x:c>
      <x:c r="P15" s="59" t="str">
        <x:v>Paid Media Lead</x:v>
      </x:c>
      <x:c r="Q15" s="48" t="n">
        <x:v>46242</x:v>
      </x:c>
      <x:c r="R15" s="59" t="str">
        <x:v>Not Started</x:v>
      </x:c>
      <x:c r="S15" s="59" t="str">
        <x:v>Adults 18+</x:v>
      </x:c>
    </x:row>
    <x:row r="16" ht="54" customHeight="1">
      <x:c r="A16" s="44" t="str">
        <x:v>AZ-1001</x:v>
      </x:c>
      <x:c r="B16" s="57" t="n">
        <x:v>46244</x:v>
      </x:c>
      <x:c r="C16" s="44" t="str">
        <x:v>Monday</x:v>
      </x:c>
      <x:c r="D16" s="44" t="str">
        <x:v>10:00</x:v>
      </x:c>
      <x:c r="E16" s="44" t="str">
        <x:v>Launch</x:v>
      </x:c>
      <x:c r="F16" s="44" t="str">
        <x:v>Instagram + Facebook</x:v>
      </x:c>
      <x:c r="G16" s="44" t="str">
        <x:v>Reel</x:v>
      </x:c>
      <x:c r="H16" s="44" t="str">
        <x:v>Offer Clarity</x:v>
      </x:c>
      <x:c r="I16" s="44" t="str">
        <x:v>Launch hero</x:v>
      </x:c>
      <x:c r="J16" s="44" t="str">
        <x:v>AZADI GLOW WEEK IS LIVE</x:v>
      </x:c>
      <x:c r="K16" s="44" t="str">
        <x:v>Choose a higher-saving bundle or 20% off an eligible individual treatment.</x:v>
      </x:c>
      <x:c r="L16" s="44" t="str">
        <x:v>Book on WhatsApp</x:v>
      </x:c>
      <x:c r="M16" s="44" t="str">
        <x:v>9:16 video</x:v>
      </x:c>
      <x:c r="N16" s="44" t="str">
        <x:v>Yes - prospecting</x:v>
      </x:c>
      <x:c r="O16" s="44" t="str">
        <x:v>Critical</x:v>
      </x:c>
      <x:c r="P16" s="59" t="str">
        <x:v>Social Media Manager</x:v>
      </x:c>
      <x:c r="Q16" s="48" t="n">
        <x:v>46241</x:v>
      </x:c>
      <x:c r="R16" s="59" t="str">
        <x:v>Not Started</x:v>
      </x:c>
      <x:c r="S16" s="59" t="str">
        <x:v>Pin to profile</x:v>
      </x:c>
    </x:row>
    <x:row r="17" ht="54" customHeight="1">
      <x:c r="A17" s="44" t="str">
        <x:v>AZ-1002</x:v>
      </x:c>
      <x:c r="B17" s="57" t="n">
        <x:v>46244</x:v>
      </x:c>
      <x:c r="C17" s="44" t="str">
        <x:v>Monday</x:v>
      </x:c>
      <x:c r="D17" s="44" t="str">
        <x:v>14:00</x:v>
      </x:c>
      <x:c r="E17" s="44" t="str">
        <x:v>Launch</x:v>
      </x:c>
      <x:c r="F17" s="44" t="str">
        <x:v>Instagram + Facebook</x:v>
      </x:c>
      <x:c r="G17" s="44" t="str">
        <x:v>Carousel</x:v>
      </x:c>
      <x:c r="H17" s="44" t="str">
        <x:v>Offer Clarity</x:v>
      </x:c>
      <x:c r="I17" s="44" t="str">
        <x:v>Approved offer menu</x:v>
      </x:c>
      <x:c r="J17" s="44" t="str">
        <x:v>Find the Venus option for you.</x:v>
      </x:c>
      <x:c r="K17" s="44" t="str">
        <x:v>Exact approved bundles and eligible-treatment rule; show regular price, Azadi price and saving.</x:v>
      </x:c>
      <x:c r="L17" s="44" t="str">
        <x:v>Message AZADI + city</x:v>
      </x:c>
      <x:c r="M17" s="44" t="str">
        <x:v>4:5, 7 slides</x:v>
      </x:c>
      <x:c r="N17" s="44" t="str">
        <x:v>Yes - prospecting</x:v>
      </x:c>
      <x:c r="O17" s="44" t="str">
        <x:v>Critical</x:v>
      </x:c>
      <x:c r="P17" s="59" t="str">
        <x:v>Designer</x:v>
      </x:c>
      <x:c r="Q17" s="48" t="n">
        <x:v>46241</x:v>
      </x:c>
      <x:c r="R17" s="59" t="str">
        <x:v>Not Started</x:v>
      </x:c>
      <x:c r="S17" s="59" t="str">
        <x:v>Finance and clinical approval required</x:v>
      </x:c>
    </x:row>
    <x:row r="18" ht="54" customHeight="1">
      <x:c r="A18" s="44" t="str">
        <x:v>AZ-1003</x:v>
      </x:c>
      <x:c r="B18" s="57" t="n">
        <x:v>46244</x:v>
      </x:c>
      <x:c r="C18" s="44" t="str">
        <x:v>Monday</x:v>
      </x:c>
      <x:c r="D18" s="44" t="str">
        <x:v>10:00-21:00</x:v>
      </x:c>
      <x:c r="E18" s="44" t="str">
        <x:v>Launch</x:v>
      </x:c>
      <x:c r="F18" s="44" t="str">
        <x:v>Instagram Stories</x:v>
      </x:c>
      <x:c r="G18" s="44" t="str">
        <x:v>Story Sequence</x:v>
      </x:c>
      <x:c r="H18" s="44" t="str">
        <x:v>Conversion</x:v>
      </x:c>
      <x:c r="I18" s="44" t="str">
        <x:v>Launch-day coverage</x:v>
      </x:c>
      <x:c r="J18" s="44" t="str">
        <x:v>We're live.</x:v>
      </x:c>
      <x:c r="K18" s="44" t="str">
        <x:v>Offer summary, branch links, greetings, FAQ and booking proof.</x:v>
      </x:c>
      <x:c r="L18" s="44" t="str">
        <x:v>Tap WhatsApp</x:v>
      </x:c>
      <x:c r="M18" s="44" t="str">
        <x:v>9:16, 10 frames</x:v>
      </x:c>
      <x:c r="N18" s="44" t="str">
        <x:v>No</x:v>
      </x:c>
      <x:c r="O18" s="44" t="str">
        <x:v>High</x:v>
      </x:c>
      <x:c r="P18" s="59" t="str">
        <x:v>Social Media Manager</x:v>
      </x:c>
      <x:c r="Q18" s="48" t="n">
        <x:v>46243</x:v>
      </x:c>
      <x:c r="R18" s="59" t="str">
        <x:v>Not Started</x:v>
      </x:c>
      <x:c r="S18" s="59" t="str">
        <x:v>Repost credible mentions</x:v>
      </x:c>
    </x:row>
    <x:row r="19" ht="54" customHeight="1">
      <x:c r="A19" s="44" t="str">
        <x:v>AZ-1004</x:v>
      </x:c>
      <x:c r="B19" s="57" t="n">
        <x:v>46244</x:v>
      </x:c>
      <x:c r="C19" s="44" t="str">
        <x:v>Monday</x:v>
      </x:c>
      <x:c r="D19" s="44" t="str">
        <x:v>10:15</x:v>
      </x:c>
      <x:c r="E19" s="44" t="str">
        <x:v>Launch</x:v>
      </x:c>
      <x:c r="F19" s="44" t="str">
        <x:v>WhatsApp</x:v>
      </x:c>
      <x:c r="G19" s="44" t="str">
        <x:v>Broadcast</x:v>
      </x:c>
      <x:c r="H19" s="44" t="str">
        <x:v>Conversion</x:v>
      </x:c>
      <x:c r="I19" s="44" t="str">
        <x:v>Launch message</x:v>
      </x:c>
      <x:c r="J19" s="44" t="str">
        <x:v>Azadi Glow Week is live.</x:v>
      </x:c>
      <x:c r="K19" s="44" t="str">
        <x:v>Send relevant offer card by city and treatment interest.</x:v>
      </x:c>
      <x:c r="L19" s="44" t="str">
        <x:v>Reply AZADI + city</x:v>
      </x:c>
      <x:c r="M19" s="44" t="str">
        <x:v>Text + 4:5 card</x:v>
      </x:c>
      <x:c r="N19" s="44" t="str">
        <x:v>No</x:v>
      </x:c>
      <x:c r="O19" s="44" t="str">
        <x:v>Critical</x:v>
      </x:c>
      <x:c r="P19" s="59" t="str">
        <x:v>CRM Team</x:v>
      </x:c>
      <x:c r="Q19" s="48" t="n">
        <x:v>46243</x:v>
      </x:c>
      <x:c r="R19" s="59" t="str">
        <x:v>Not Started</x:v>
      </x:c>
      <x:c r="S19" s="59" t="str">
        <x:v>Label every reply</x:v>
      </x:c>
    </x:row>
    <x:row r="20" ht="54" customHeight="1">
      <x:c r="A20" s="44" t="str">
        <x:v>AZ-1005</x:v>
      </x:c>
      <x:c r="B20" s="57" t="n">
        <x:v>46244</x:v>
      </x:c>
      <x:c r="C20" s="44" t="str">
        <x:v>Monday</x:v>
      </x:c>
      <x:c r="D20" s="44" t="str">
        <x:v>10:30</x:v>
      </x:c>
      <x:c r="E20" s="44" t="str">
        <x:v>Launch</x:v>
      </x:c>
      <x:c r="F20" s="44" t="str">
        <x:v>Meta Ads</x:v>
      </x:c>
      <x:c r="G20" s="44" t="str">
        <x:v>Paid Activation</x:v>
      </x:c>
      <x:c r="H20" s="44" t="str">
        <x:v>Conversion</x:v>
      </x:c>
      <x:c r="I20" s="44" t="str">
        <x:v>Prospecting launch</x:v>
      </x:c>
      <x:c r="J20" s="44" t="str">
        <x:v>Book Azadi Glow Week on WhatsApp.</x:v>
      </x:c>
      <x:c r="K20" s="44" t="str">
        <x:v>Launch city-specific prospecting and warm retargeting.</x:v>
      </x:c>
      <x:c r="L20" s="44" t="str">
        <x:v>Send WhatsApp message</x:v>
      </x:c>
      <x:c r="M20" s="44" t="str">
        <x:v>Reel + carousel</x:v>
      </x:c>
      <x:c r="N20" s="44" t="str">
        <x:v>Yes</x:v>
      </x:c>
      <x:c r="O20" s="44" t="str">
        <x:v>Critical</x:v>
      </x:c>
      <x:c r="P20" s="59" t="str">
        <x:v>Paid Media Lead</x:v>
      </x:c>
      <x:c r="Q20" s="48" t="n">
        <x:v>46243</x:v>
      </x:c>
      <x:c r="R20" s="59" t="str">
        <x:v>Not Started</x:v>
      </x:c>
      <x:c r="S20" s="59" t="str">
        <x:v>Separate routing per city / branch</x:v>
      </x:c>
    </x:row>
    <x:row r="21" ht="54" customHeight="1">
      <x:c r="A21" s="44" t="str">
        <x:v>AZ-1101</x:v>
      </x:c>
      <x:c r="B21" s="57" t="n">
        <x:v>46245</x:v>
      </x:c>
      <x:c r="C21" s="44" t="str">
        <x:v>Tuesday</x:v>
      </x:c>
      <x:c r="D21" s="44" t="str">
        <x:v>11:00</x:v>
      </x:c>
      <x:c r="E21" s="44" t="str">
        <x:v>Launch / Proof</x:v>
      </x:c>
      <x:c r="F21" s="44" t="str">
        <x:v>Instagram + Facebook</x:v>
      </x:c>
      <x:c r="G21" s="44" t="str">
        <x:v>Carousel</x:v>
      </x:c>
      <x:c r="H21" s="44" t="str">
        <x:v>Offer Clarity</x:v>
      </x:c>
      <x:c r="I21" s="44" t="str">
        <x:v>Bundle value breakdown</x:v>
      </x:c>
      <x:c r="J21" s="44" t="str">
        <x:v>More planning. More value.</x:v>
      </x:c>
      <x:c r="K21" s="44" t="str">
        <x:v>One approved bundle per slide with inclusions, price and exact saving.</x:v>
      </x:c>
      <x:c r="L21" s="44" t="str">
        <x:v>Ask which bundle fits</x:v>
      </x:c>
      <x:c r="M21" s="44" t="str">
        <x:v>4:5, 6 slides</x:v>
      </x:c>
      <x:c r="N21" s="44" t="str">
        <x:v>Yes - test</x:v>
      </x:c>
      <x:c r="O21" s="44" t="str">
        <x:v>High</x:v>
      </x:c>
      <x:c r="P21" s="59" t="str">
        <x:v>Designer</x:v>
      </x:c>
      <x:c r="Q21" s="48" t="n">
        <x:v>46242</x:v>
      </x:c>
      <x:c r="R21" s="59" t="str">
        <x:v>Not Started</x:v>
      </x:c>
      <x:c r="S21" s="59" t="str">
        <x:v>Lead with strongest genuine saving</x:v>
      </x:c>
    </x:row>
    <x:row r="22" ht="54" customHeight="1">
      <x:c r="A22" s="44" t="str">
        <x:v>AZ-1102</x:v>
      </x:c>
      <x:c r="B22" s="57" t="n">
        <x:v>46245</x:v>
      </x:c>
      <x:c r="C22" s="44" t="str">
        <x:v>Tuesday</x:v>
      </x:c>
      <x:c r="D22" s="44" t="str">
        <x:v>15:00 / 19:00</x:v>
      </x:c>
      <x:c r="E22" s="44" t="str">
        <x:v>Launch / Proof</x:v>
      </x:c>
      <x:c r="F22" s="44" t="str">
        <x:v>Instagram Stories</x:v>
      </x:c>
      <x:c r="G22" s="44" t="str">
        <x:v>Story Sequence</x:v>
      </x:c>
      <x:c r="H22" s="44" t="str">
        <x:v>Engagement</x:v>
      </x:c>
      <x:c r="I22" s="44" t="str">
        <x:v>Bundle Q&amp;A</x:v>
      </x:c>
      <x:c r="J22" s="44" t="str">
        <x:v>Which plan should we explain?</x:v>
      </x:c>
      <x:c r="K22" s="44" t="str">
        <x:v>Bundle cards, poll, advisor answer and capacity update.</x:v>
      </x:c>
      <x:c r="L22" s="44" t="str">
        <x:v>Send your category</x:v>
      </x:c>
      <x:c r="M22" s="44" t="str">
        <x:v>9:16, 7 frames</x:v>
      </x:c>
      <x:c r="N22" s="44" t="str">
        <x:v>No</x:v>
      </x:c>
      <x:c r="O22" s="44" t="str">
        <x:v>High</x:v>
      </x:c>
      <x:c r="P22" s="59" t="str">
        <x:v>Social Media Manager</x:v>
      </x:c>
      <x:c r="Q22" s="48" t="n">
        <x:v>46244</x:v>
      </x:c>
      <x:c r="R22" s="59" t="str">
        <x:v>Not Started</x:v>
      </x:c>
      <x:c r="S22" s="59" t="str">
        <x:v>Use real availability</x:v>
      </x:c>
    </x:row>
    <x:row r="23" ht="54" customHeight="1">
      <x:c r="A23" s="44" t="str">
        <x:v>AZ-1103</x:v>
      </x:c>
      <x:c r="B23" s="57" t="n">
        <x:v>46245</x:v>
      </x:c>
      <x:c r="C23" s="44" t="str">
        <x:v>Tuesday</x:v>
      </x:c>
      <x:c r="D23" s="44" t="str">
        <x:v>19:00</x:v>
      </x:c>
      <x:c r="E23" s="44" t="str">
        <x:v>Launch / Proof</x:v>
      </x:c>
      <x:c r="F23" s="44" t="str">
        <x:v>Instagram + Facebook</x:v>
      </x:c>
      <x:c r="G23" s="44" t="str">
        <x:v>Reel</x:v>
      </x:c>
      <x:c r="H23" s="44" t="str">
        <x:v>Education</x:v>
      </x:c>
      <x:c r="I23" s="44" t="str">
        <x:v>Advisor explains bundle</x:v>
      </x:c>
      <x:c r="J23" s="44" t="str">
        <x:v>Bundle or single treatment?</x:v>
      </x:c>
      <x:c r="K23" s="44" t="str">
        <x:v>Advisor explains how to choose without diagnosing online.</x:v>
      </x:c>
      <x:c r="L23" s="44" t="str">
        <x:v>Speak to an advisor</x:v>
      </x:c>
      <x:c r="M23" s="44" t="str">
        <x:v>9:16 talking head</x:v>
      </x:c>
      <x:c r="N23" s="44" t="str">
        <x:v>Optional retarget</x:v>
      </x:c>
      <x:c r="O23" s="44" t="str">
        <x:v>Medium</x:v>
      </x:c>
      <x:c r="P23" s="59" t="str">
        <x:v>Video Editor</x:v>
      </x:c>
      <x:c r="Q23" s="48" t="n">
        <x:v>46243</x:v>
      </x:c>
      <x:c r="R23" s="59" t="str">
        <x:v>Not Started</x:v>
      </x:c>
      <x:c r="S23" s="59" t="str">
        <x:v>Keep under 25 seconds</x:v>
      </x:c>
    </x:row>
    <x:row r="24" ht="54" customHeight="1">
      <x:c r="A24" s="44" t="str">
        <x:v>AZ-1104</x:v>
      </x:c>
      <x:c r="B24" s="57" t="n">
        <x:v>46245</x:v>
      </x:c>
      <x:c r="C24" s="44" t="str">
        <x:v>Tuesday</x:v>
      </x:c>
      <x:c r="D24" s="44" t="str">
        <x:v>12:00-20:00</x:v>
      </x:c>
      <x:c r="E24" s="44" t="str">
        <x:v>Launch / Proof</x:v>
      </x:c>
      <x:c r="F24" s="44" t="str">
        <x:v>WhatsApp</x:v>
      </x:c>
      <x:c r="G24" s="44" t="str">
        <x:v>Personal Follow-up</x:v>
      </x:c>
      <x:c r="H24" s="44" t="str">
        <x:v>Conversion</x:v>
      </x:c>
      <x:c r="I24" s="44" t="str">
        <x:v>Launch-day recovery</x:v>
      </x:c>
      <x:c r="J24" s="44" t="str">
        <x:v>Still considering your Venus plan?</x:v>
      </x:c>
      <x:c r="K24" s="44" t="str">
        <x:v>Send only the most relevant approved bundle, not the full price sheet.</x:v>
      </x:c>
      <x:c r="L24" s="44" t="str">
        <x:v>Reply with preferred day</x:v>
      </x:c>
      <x:c r="M24" s="44" t="str">
        <x:v>Text + relevant card</x:v>
      </x:c>
      <x:c r="N24" s="44" t="str">
        <x:v>No</x:v>
      </x:c>
      <x:c r="O24" s="44" t="str">
        <x:v>High</x:v>
      </x:c>
      <x:c r="P24" s="59" t="str">
        <x:v>CRM Team</x:v>
      </x:c>
      <x:c r="Q24" s="48" t="n">
        <x:v>46244</x:v>
      </x:c>
      <x:c r="R24" s="59" t="str">
        <x:v>Not Started</x:v>
      </x:c>
      <x:c r="S24" s="59" t="str">
        <x:v>Log objection category</x:v>
      </x:c>
    </x:row>
    <x:row r="25" ht="54" customHeight="1">
      <x:c r="A25" s="44" t="str">
        <x:v>AZ-1201</x:v>
      </x:c>
      <x:c r="B25" s="57" t="n">
        <x:v>46246</x:v>
      </x:c>
      <x:c r="C25" s="44" t="str">
        <x:v>Wednesday</x:v>
      </x:c>
      <x:c r="D25" s="44" t="str">
        <x:v>11:00</x:v>
      </x:c>
      <x:c r="E25" s="44" t="str">
        <x:v>Launch / Proof</x:v>
      </x:c>
      <x:c r="F25" s="44" t="str">
        <x:v>Instagram + Facebook</x:v>
      </x:c>
      <x:c r="G25" s="44" t="str">
        <x:v>Reel</x:v>
      </x:c>
      <x:c r="H25" s="44" t="str">
        <x:v>Offer Clarity</x:v>
      </x:c>
      <x:c r="I25" s="44" t="str">
        <x:v>Flat 20% explainer</x:v>
      </x:c>
      <x:c r="J25" s="44" t="str">
        <x:v>Prefer a single treatment?</x:v>
      </x:c>
      <x:c r="K25" s="44" t="str">
        <x:v>Flat 20% off eligible individual treatments during Azadi Glow Week.</x:v>
      </x:c>
      <x:c r="L25" s="44" t="str">
        <x:v>Ask if yours is included</x:v>
      </x:c>
      <x:c r="M25" s="44" t="str">
        <x:v>9:16 video</x:v>
      </x:c>
      <x:c r="N25" s="44" t="str">
        <x:v>Yes - test</x:v>
      </x:c>
      <x:c r="O25" s="44" t="str">
        <x:v>High</x:v>
      </x:c>
      <x:c r="P25" s="59" t="str">
        <x:v>Video Editor</x:v>
      </x:c>
      <x:c r="Q25" s="48" t="n">
        <x:v>46243</x:v>
      </x:c>
      <x:c r="R25" s="59" t="str">
        <x:v>Not Started</x:v>
      </x:c>
      <x:c r="S25" s="59" t="str">
        <x:v>Do not imply all treatments</x:v>
      </x:c>
    </x:row>
    <x:row r="26" ht="54" customHeight="1">
      <x:c r="A26" s="44" t="str">
        <x:v>AZ-1202</x:v>
      </x:c>
      <x:c r="B26" s="57" t="n">
        <x:v>46246</x:v>
      </x:c>
      <x:c r="C26" s="44" t="str">
        <x:v>Wednesday</x:v>
      </x:c>
      <x:c r="D26" s="44" t="str">
        <x:v>14:00</x:v>
      </x:c>
      <x:c r="E26" s="44" t="str">
        <x:v>Launch / Proof</x:v>
      </x:c>
      <x:c r="F26" s="44" t="str">
        <x:v>Instagram + Facebook</x:v>
      </x:c>
      <x:c r="G26" s="44" t="str">
        <x:v>Carousel</x:v>
      </x:c>
      <x:c r="H26" s="44" t="str">
        <x:v>Education</x:v>
      </x:c>
      <x:c r="I26" s="44" t="str">
        <x:v>Eligible treatment categories</x:v>
      </x:c>
      <x:c r="J26" s="44" t="str">
        <x:v>One treatment. Clear saving.</x:v>
      </x:c>
      <x:c r="K26" s="44" t="str">
        <x:v>List only signed-off services / categories and consultation rule.</x:v>
      </x:c>
      <x:c r="L26" s="44" t="str">
        <x:v>Book on WhatsApp</x:v>
      </x:c>
      <x:c r="M26" s="44" t="str">
        <x:v>4:5, 5 slides</x:v>
      </x:c>
      <x:c r="N26" s="44" t="str">
        <x:v>Yes - test</x:v>
      </x:c>
      <x:c r="O26" s="44" t="str">
        <x:v>High</x:v>
      </x:c>
      <x:c r="P26" s="59" t="str">
        <x:v>Designer</x:v>
      </x:c>
      <x:c r="Q26" s="48" t="n">
        <x:v>46243</x:v>
      </x:c>
      <x:c r="R26" s="59" t="str">
        <x:v>Not Started</x:v>
      </x:c>
      <x:c r="S26" s="59" t="str">
        <x:v>Clinical approval required</x:v>
      </x:c>
    </x:row>
    <x:row r="27" ht="54" customHeight="1">
      <x:c r="A27" s="44" t="str">
        <x:v>AZ-1203</x:v>
      </x:c>
      <x:c r="B27" s="57" t="n">
        <x:v>46246</x:v>
      </x:c>
      <x:c r="C27" s="44" t="str">
        <x:v>Wednesday</x:v>
      </x:c>
      <x:c r="D27" s="44" t="str">
        <x:v>15:00-20:00</x:v>
      </x:c>
      <x:c r="E27" s="44" t="str">
        <x:v>Launch / Proof</x:v>
      </x:c>
      <x:c r="F27" s="44" t="str">
        <x:v>Instagram Stories</x:v>
      </x:c>
      <x:c r="G27" s="44" t="str">
        <x:v>Story Sequence</x:v>
      </x:c>
      <x:c r="H27" s="44" t="str">
        <x:v>Engagement</x:v>
      </x:c>
      <x:c r="I27" s="44" t="str">
        <x:v>Treatment interest</x:v>
      </x:c>
      <x:c r="J27" s="44" t="str">
        <x:v>Which treatment are you considering?</x:v>
      </x:c>
      <x:c r="K27" s="44" t="str">
        <x:v>Category tiles, practitioner clip, misconception poll and link.</x:v>
      </x:c>
      <x:c r="L27" s="44" t="str">
        <x:v>Ask us on WhatsApp</x:v>
      </x:c>
      <x:c r="M27" s="44" t="str">
        <x:v>9:16, 7 frames</x:v>
      </x:c>
      <x:c r="N27" s="44" t="str">
        <x:v>No</x:v>
      </x:c>
      <x:c r="O27" s="44" t="str">
        <x:v>Medium</x:v>
      </x:c>
      <x:c r="P27" s="59" t="str">
        <x:v>Social Media Manager</x:v>
      </x:c>
      <x:c r="Q27" s="48" t="n">
        <x:v>46245</x:v>
      </x:c>
      <x:c r="R27" s="59" t="str">
        <x:v>Not Started</x:v>
      </x:c>
      <x:c r="S27" s="59" t="str">
        <x:v>Route clinical questions to consultation</x:v>
      </x:c>
    </x:row>
    <x:row r="28" ht="54" customHeight="1">
      <x:c r="A28" s="44" t="str">
        <x:v>AZ-1204</x:v>
      </x:c>
      <x:c r="B28" s="57" t="n">
        <x:v>46246</x:v>
      </x:c>
      <x:c r="C28" s="44" t="str">
        <x:v>Wednesday</x:v>
      </x:c>
      <x:c r="D28" s="44" t="str">
        <x:v>12:00-19:00</x:v>
      </x:c>
      <x:c r="E28" s="44" t="str">
        <x:v>Launch / Proof</x:v>
      </x:c>
      <x:c r="F28" s="44" t="str">
        <x:v>WhatsApp</x:v>
      </x:c>
      <x:c r="G28" s="44" t="str">
        <x:v>Personal Follow-up</x:v>
      </x:c>
      <x:c r="H28" s="44" t="str">
        <x:v>Conversion</x:v>
      </x:c>
      <x:c r="I28" s="44" t="str">
        <x:v>Single-treatment alternative</x:v>
      </x:c>
      <x:c r="J28" s="44" t="str">
        <x:v>Not ready for a bundle?</x:v>
      </x:c>
      <x:c r="K28" s="44" t="str">
        <x:v>Send eligibility card to appropriate bundle-reject / one-session leads.</x:v>
      </x:c>
      <x:c r="L28" s="44" t="str">
        <x:v>Choose a preferred day</x:v>
      </x:c>
      <x:c r="M28" s="44" t="str">
        <x:v>Text + card</x:v>
      </x:c>
      <x:c r="N28" s="44" t="str">
        <x:v>No</x:v>
      </x:c>
      <x:c r="O28" s="44" t="str">
        <x:v>High</x:v>
      </x:c>
      <x:c r="P28" s="59" t="str">
        <x:v>CRM Team</x:v>
      </x:c>
      <x:c r="Q28" s="48" t="n">
        <x:v>46245</x:v>
      </x:c>
      <x:c r="R28" s="59" t="str">
        <x:v>Not Started</x:v>
      </x:c>
      <x:c r="S28" s="59" t="str">
        <x:v>Do not broadcast to everyone</x:v>
      </x:c>
    </x:row>
    <x:row r="29" ht="54" customHeight="1">
      <x:c r="A29" s="44" t="str">
        <x:v>AZ-1301</x:v>
      </x:c>
      <x:c r="B29" s="57" t="n">
        <x:v>46247</x:v>
      </x:c>
      <x:c r="C29" s="44" t="str">
        <x:v>Thursday</x:v>
      </x:c>
      <x:c r="D29" s="44" t="str">
        <x:v>12:00</x:v>
      </x:c>
      <x:c r="E29" s="44" t="str">
        <x:v>Trust / Recovery</x:v>
      </x:c>
      <x:c r="F29" s="44" t="str">
        <x:v>Instagram + Facebook</x:v>
      </x:c>
      <x:c r="G29" s="44" t="str">
        <x:v>Reel</x:v>
      </x:c>
      <x:c r="H29" s="44" t="str">
        <x:v>Trust</x:v>
      </x:c>
      <x:c r="I29" s="44" t="str">
        <x:v>Doctor FAQ</x:v>
      </x:c>
      <x:c r="J29" s="44" t="str">
        <x:v>The right treatment starts with the right guidance.</x:v>
      </x:c>
      <x:c r="K29" s="44" t="str">
        <x:v>Suitability, consultation, safety, package validity and results vary.</x:v>
      </x:c>
      <x:c r="L29" s="44" t="str">
        <x:v>Speak to a Venus advisor</x:v>
      </x:c>
      <x:c r="M29" s="44" t="str">
        <x:v>9:16 doctor clip</x:v>
      </x:c>
      <x:c r="N29" s="44" t="str">
        <x:v>Yes - warm retarget</x:v>
      </x:c>
      <x:c r="O29" s="44" t="str">
        <x:v>Critical</x:v>
      </x:c>
      <x:c r="P29" s="59" t="str">
        <x:v>Video Editor</x:v>
      </x:c>
      <x:c r="Q29" s="48" t="n">
        <x:v>46244</x:v>
      </x:c>
      <x:c r="R29" s="59" t="str">
        <x:v>Not Started</x:v>
      </x:c>
      <x:c r="S29" s="59" t="str">
        <x:v>Clinical review before publish</x:v>
      </x:c>
    </x:row>
    <x:row r="30" ht="54" customHeight="1">
      <x:c r="A30" s="44" t="str">
        <x:v>AZ-1302</x:v>
      </x:c>
      <x:c r="B30" s="57" t="n">
        <x:v>46247</x:v>
      </x:c>
      <x:c r="C30" s="44" t="str">
        <x:v>Thursday</x:v>
      </x:c>
      <x:c r="D30" s="44" t="str">
        <x:v>16:00</x:v>
      </x:c>
      <x:c r="E30" s="44" t="str">
        <x:v>Trust / Recovery</x:v>
      </x:c>
      <x:c r="F30" s="44" t="str">
        <x:v>Instagram + Facebook</x:v>
      </x:c>
      <x:c r="G30" s="44" t="str">
        <x:v>Static</x:v>
      </x:c>
      <x:c r="H30" s="44" t="str">
        <x:v>Social Proof</x:v>
      </x:c>
      <x:c r="I30" s="44" t="str">
        <x:v>Patient review</x:v>
      </x:c>
      <x:c r="J30" s="44" t="str">
        <x:v>Real care. Real experience.</x:v>
      </x:c>
      <x:c r="K30" s="44" t="str">
        <x:v>Consented testimonial / review with modest outcome language.</x:v>
      </x:c>
      <x:c r="L30" s="44" t="str">
        <x:v>Book a consultation</x:v>
      </x:c>
      <x:c r="M30" s="44" t="str">
        <x:v>4:5 static</x:v>
      </x:c>
      <x:c r="N30" s="44" t="str">
        <x:v>Yes - warm retarget</x:v>
      </x:c>
      <x:c r="O30" s="44" t="str">
        <x:v>High</x:v>
      </x:c>
      <x:c r="P30" s="59" t="str">
        <x:v>Designer</x:v>
      </x:c>
      <x:c r="Q30" s="48" t="n">
        <x:v>46244</x:v>
      </x:c>
      <x:c r="R30" s="59" t="str">
        <x:v>Not Started</x:v>
      </x:c>
      <x:c r="S30" s="59" t="str">
        <x:v>Written consent required</x:v>
      </x:c>
    </x:row>
    <x:row r="31" ht="54" customHeight="1">
      <x:c r="A31" s="44" t="str">
        <x:v>AZ-1303</x:v>
      </x:c>
      <x:c r="B31" s="57" t="n">
        <x:v>46247</x:v>
      </x:c>
      <x:c r="C31" s="44" t="str">
        <x:v>Thursday</x:v>
      </x:c>
      <x:c r="D31" s="44" t="str">
        <x:v>20:00</x:v>
      </x:c>
      <x:c r="E31" s="44" t="str">
        <x:v>Trust / Recovery</x:v>
      </x:c>
      <x:c r="F31" s="44" t="str">
        <x:v>Instagram Live</x:v>
      </x:c>
      <x:c r="G31" s="44" t="str">
        <x:v>Live Q&amp;A</x:v>
      </x:c>
      <x:c r="H31" s="44" t="str">
        <x:v>Education</x:v>
      </x:c>
      <x:c r="I31" s="44" t="str">
        <x:v>Doctor / advisor Q&amp;A</x:v>
      </x:c>
      <x:c r="J31" s="44" t="str">
        <x:v>Ask Venus live.</x:v>
      </x:c>
      <x:c r="K31" s="44" t="str">
        <x:v>Answer offer, consultation and suitability-process questions; do not diagnose.</x:v>
      </x:c>
      <x:c r="L31" s="44" t="str">
        <x:v>Send questions / WhatsApp</x:v>
      </x:c>
      <x:c r="M31" s="44" t="str">
        <x:v>20-30 min live</x:v>
      </x:c>
      <x:c r="N31" s="44" t="str">
        <x:v>No</x:v>
      </x:c>
      <x:c r="O31" s="44" t="str">
        <x:v>High</x:v>
      </x:c>
      <x:c r="P31" s="59" t="str">
        <x:v>Social Media Manager</x:v>
      </x:c>
      <x:c r="Q31" s="48" t="n">
        <x:v>46245</x:v>
      </x:c>
      <x:c r="R31" s="59" t="str">
        <x:v>Not Started</x:v>
      </x:c>
      <x:c r="S31" s="59" t="str">
        <x:v>Save and clip highlights</x:v>
      </x:c>
    </x:row>
    <x:row r="32" ht="54" customHeight="1">
      <x:c r="A32" s="44" t="str">
        <x:v>AZ-1304</x:v>
      </x:c>
      <x:c r="B32" s="57" t="n">
        <x:v>46247</x:v>
      </x:c>
      <x:c r="C32" s="44" t="str">
        <x:v>Thursday</x:v>
      </x:c>
      <x:c r="D32" s="44" t="str">
        <x:v>12:00-20:00</x:v>
      </x:c>
      <x:c r="E32" s="44" t="str">
        <x:v>Trust / Recovery</x:v>
      </x:c>
      <x:c r="F32" s="44" t="str">
        <x:v>WhatsApp</x:v>
      </x:c>
      <x:c r="G32" s="44" t="str">
        <x:v>Personal Follow-up</x:v>
      </x:c>
      <x:c r="H32" s="44" t="str">
        <x:v>Conversion</x:v>
      </x:c>
      <x:c r="I32" s="44" t="str">
        <x:v>Qualified lead recovery</x:v>
      </x:c>
      <x:c r="J32" s="44" t="str">
        <x:v>Can we help you choose the right next step?</x:v>
      </x:c>
      <x:c r="K32" s="44" t="str">
        <x:v>Follow up all qualified, unbooked leads and offer advisor call.</x:v>
      </x:c>
      <x:c r="L32" s="44" t="str">
        <x:v>Reserve a slot</x:v>
      </x:c>
      <x:c r="M32" s="44" t="str">
        <x:v>Text / call</x:v>
      </x:c>
      <x:c r="N32" s="44" t="str">
        <x:v>No</x:v>
      </x:c>
      <x:c r="O32" s="44" t="str">
        <x:v>Critical</x:v>
      </x:c>
      <x:c r="P32" s="59" t="str">
        <x:v>CRM Team</x:v>
      </x:c>
      <x:c r="Q32" s="48" t="n">
        <x:v>46246</x:v>
      </x:c>
      <x:c r="R32" s="59" t="str">
        <x:v>Not Started</x:v>
      </x:c>
      <x:c r="S32" s="59" t="str">
        <x:v>No repeated spam</x:v>
      </x:c>
    </x:row>
    <x:row r="33" ht="54" customHeight="1">
      <x:c r="A33" s="44" t="str">
        <x:v>AZ-1305</x:v>
      </x:c>
      <x:c r="B33" s="57" t="n">
        <x:v>46247</x:v>
      </x:c>
      <x:c r="C33" s="44" t="str">
        <x:v>Thursday</x:v>
      </x:c>
      <x:c r="D33" s="44" t="str">
        <x:v>14:00-21:00</x:v>
      </x:c>
      <x:c r="E33" s="44" t="str">
        <x:v>Trust / Recovery</x:v>
      </x:c>
      <x:c r="F33" s="44" t="str">
        <x:v>Instagram Stories</x:v>
      </x:c>
      <x:c r="G33" s="44" t="str">
        <x:v>Story Sequence</x:v>
      </x:c>
      <x:c r="H33" s="44" t="str">
        <x:v>Trust</x:v>
      </x:c>
      <x:c r="I33" s="44" t="str">
        <x:v>FAQ + clinic tour</x:v>
      </x:c>
      <x:c r="J33" s="44" t="str">
        <x:v>What would you like to ask?</x:v>
      </x:c>
      <x:c r="K33" s="44" t="str">
        <x:v>Question box, clinic tour, team, FAQ clips and 14 Aug countdown.</x:v>
      </x:c>
      <x:c r="L33" s="44" t="str">
        <x:v>Send a question</x:v>
      </x:c>
      <x:c r="M33" s="44" t="str">
        <x:v>9:16, 8 frames</x:v>
      </x:c>
      <x:c r="N33" s="44" t="str">
        <x:v>No</x:v>
      </x:c>
      <x:c r="O33" s="44" t="str">
        <x:v>Medium</x:v>
      </x:c>
      <x:c r="P33" s="59" t="str">
        <x:v>Social Media Manager</x:v>
      </x:c>
      <x:c r="Q33" s="48" t="n">
        <x:v>46246</x:v>
      </x:c>
      <x:c r="R33" s="59" t="str">
        <x:v>Not Started</x:v>
      </x:c>
      <x:c r="S33" s="59" t="str">
        <x:v>Reuse Live highlights</x:v>
      </x:c>
    </x:row>
    <x:row r="34" ht="54" customHeight="1">
      <x:c r="A34" s="44" t="str">
        <x:v>AZ-1401</x:v>
      </x:c>
      <x:c r="B34" s="57" t="n">
        <x:v>46248</x:v>
      </x:c>
      <x:c r="C34" s="44" t="str">
        <x:v>Friday</x:v>
      </x:c>
      <x:c r="D34" s="44" t="str">
        <x:v>10:00</x:v>
      </x:c>
      <x:c r="E34" s="44" t="str">
        <x:v>Urgency</x:v>
      </x:c>
      <x:c r="F34" s="44" t="str">
        <x:v>Instagram + Facebook</x:v>
      </x:c>
      <x:c r="G34" s="44" t="str">
        <x:v>Reel</x:v>
      </x:c>
      <x:c r="H34" s="44" t="str">
        <x:v>Brand / Trust</x:v>
      </x:c>
      <x:c r="I34" s="44" t="str">
        <x:v>Independence hero message</x:v>
      </x:c>
      <x:c r="J34" s="44" t="str">
        <x:v>Freedom to choose care that feels right for you.</x:v>
      </x:c>
      <x:c r="K34" s="44" t="str">
        <x:v>Warm founder / doctor greeting followed by offer and closing date.</x:v>
      </x:c>
      <x:c r="L34" s="44" t="str">
        <x:v>Book by 16 August</x:v>
      </x:c>
      <x:c r="M34" s="44" t="str">
        <x:v>9:16 video</x:v>
      </x:c>
      <x:c r="N34" s="44" t="str">
        <x:v>Yes - scale winner</x:v>
      </x:c>
      <x:c r="O34" s="44" t="str">
        <x:v>Critical</x:v>
      </x:c>
      <x:c r="P34" s="59" t="str">
        <x:v>Video Editor</x:v>
      </x:c>
      <x:c r="Q34" s="48" t="n">
        <x:v>46245</x:v>
      </x:c>
      <x:c r="R34" s="59" t="str">
        <x:v>Not Started</x:v>
      </x:c>
      <x:c r="S34" s="59" t="str">
        <x:v>Minimal green / white accent; no flag clutter</x:v>
      </x:c>
    </x:row>
    <x:row r="35" ht="54" customHeight="1">
      <x:c r="A35" s="44" t="str">
        <x:v>AZ-1402</x:v>
      </x:c>
      <x:c r="B35" s="57" t="n">
        <x:v>46248</x:v>
      </x:c>
      <x:c r="C35" s="44" t="str">
        <x:v>Friday</x:v>
      </x:c>
      <x:c r="D35" s="44" t="str">
        <x:v>11:00-21:00</x:v>
      </x:c>
      <x:c r="E35" s="44" t="str">
        <x:v>Urgency</x:v>
      </x:c>
      <x:c r="F35" s="44" t="str">
        <x:v>Instagram Stories</x:v>
      </x:c>
      <x:c r="G35" s="44" t="str">
        <x:v>Live Coverage</x:v>
      </x:c>
      <x:c r="H35" s="44" t="str">
        <x:v>Social Proof</x:v>
      </x:c>
      <x:c r="I35" s="44" t="str">
        <x:v>Branch Independence coverage</x:v>
      </x:c>
      <x:c r="J35" s="44" t="str">
        <x:v>Celebrating with Venus.</x:v>
      </x:c>
      <x:c r="K35" s="44" t="str">
        <x:v>Staff clips, real bookings, FAQs and approved optional bonus.</x:v>
      </x:c>
      <x:c r="L35" s="44" t="str">
        <x:v>Tap to book</x:v>
      </x:c>
      <x:c r="M35" s="44" t="str">
        <x:v>9:16, 10-12 frames</x:v>
      </x:c>
      <x:c r="N35" s="44" t="str">
        <x:v>No</x:v>
      </x:c>
      <x:c r="O35" s="44" t="str">
        <x:v>High</x:v>
      </x:c>
      <x:c r="P35" s="59" t="str">
        <x:v>Branch Manager</x:v>
      </x:c>
      <x:c r="Q35" s="48" t="n">
        <x:v>46247</x:v>
      </x:c>
      <x:c r="R35" s="59" t="str">
        <x:v>Not Started</x:v>
      </x:c>
      <x:c r="S35" s="59" t="str">
        <x:v>Capture consent</x:v>
      </x:c>
    </x:row>
    <x:row r="36" ht="54" customHeight="1">
      <x:c r="A36" s="44" t="str">
        <x:v>AZ-1403</x:v>
      </x:c>
      <x:c r="B36" s="57" t="n">
        <x:v>46248</x:v>
      </x:c>
      <x:c r="C36" s="44" t="str">
        <x:v>Friday</x:v>
      </x:c>
      <x:c r="D36" s="44" t="str">
        <x:v>12:00-20:00</x:v>
      </x:c>
      <x:c r="E36" s="44" t="str">
        <x:v>Urgency</x:v>
      </x:c>
      <x:c r="F36" s="44" t="str">
        <x:v>Creator</x:v>
      </x:c>
      <x:c r="G36" s="44" t="str">
        <x:v>Reel / Stories</x:v>
      </x:c>
      <x:c r="H36" s="44" t="str">
        <x:v>Trust</x:v>
      </x:c>
      <x:c r="I36" s="44" t="str">
        <x:v>Creator branch experience</x:v>
      </x:c>
      <x:c r="J36" s="44" t="str">
        <x:v>A closer look at Azadi Glow Week.</x:v>
      </x:c>
      <x:c r="K36" s="44" t="str">
        <x:v>Show branch experience and consultation journey; state exact dates and offer.</x:v>
      </x:c>
      <x:c r="L36" s="44" t="str">
        <x:v>Message AZADI + city</x:v>
      </x:c>
      <x:c r="M36" s="44" t="str">
        <x:v>9:16 creator content</x:v>
      </x:c>
      <x:c r="N36" s="44" t="str">
        <x:v>Optional amplification</x:v>
      </x:c>
      <x:c r="O36" s="44" t="str">
        <x:v>High</x:v>
      </x:c>
      <x:c r="P36" s="59" t="str">
        <x:v>Creator Manager</x:v>
      </x:c>
      <x:c r="Q36" s="48" t="n">
        <x:v>46245</x:v>
      </x:c>
      <x:c r="R36" s="59" t="str">
        <x:v>Not Started</x:v>
      </x:c>
      <x:c r="S36" s="59" t="str">
        <x:v>Use approved wording and disclosure</x:v>
      </x:c>
    </x:row>
    <x:row r="37" ht="54" customHeight="1">
      <x:c r="A37" s="44" t="str">
        <x:v>AZ-1404</x:v>
      </x:c>
      <x:c r="B37" s="57" t="n">
        <x:v>46248</x:v>
      </x:c>
      <x:c r="C37" s="44" t="str">
        <x:v>Friday</x:v>
      </x:c>
      <x:c r="D37" s="44" t="str">
        <x:v>11:00</x:v>
      </x:c>
      <x:c r="E37" s="44" t="str">
        <x:v>Urgency</x:v>
      </x:c>
      <x:c r="F37" s="44" t="str">
        <x:v>WhatsApp</x:v>
      </x:c>
      <x:c r="G37" s="44" t="str">
        <x:v>Greeting</x:v>
      </x:c>
      <x:c r="H37" s="44" t="str">
        <x:v>Conversion</x:v>
      </x:c>
      <x:c r="I37" s="44" t="str">
        <x:v>Independence reminder</x:v>
      </x:c>
      <x:c r="J37" s="44" t="str">
        <x:v>Happy Independence Day from Venus.</x:v>
      </x:c>
      <x:c r="K37" s="44" t="str">
        <x:v>Short greeting plus sale reminder; no full price dump.</x:v>
      </x:c>
      <x:c r="L37" s="44" t="str">
        <x:v>Book by 16 August</x:v>
      </x:c>
      <x:c r="M37" s="44" t="str">
        <x:v>Text + card</x:v>
      </x:c>
      <x:c r="N37" s="44" t="str">
        <x:v>No</x:v>
      </x:c>
      <x:c r="O37" s="44" t="str">
        <x:v>Medium</x:v>
      </x:c>
      <x:c r="P37" s="59" t="str">
        <x:v>CRM Team</x:v>
      </x:c>
      <x:c r="Q37" s="48" t="n">
        <x:v>46247</x:v>
      </x:c>
      <x:c r="R37" s="59" t="str">
        <x:v>Not Started</x:v>
      </x:c>
      <x:c r="S37" s="59" t="str">
        <x:v>Segment appropriately</x:v>
      </x:c>
    </x:row>
    <x:row r="38" ht="54" customHeight="1">
      <x:c r="A38" s="44" t="str">
        <x:v>AZ-1501</x:v>
      </x:c>
      <x:c r="B38" s="57" t="n">
        <x:v>46249</x:v>
      </x:c>
      <x:c r="C38" s="44" t="str">
        <x:v>Saturday</x:v>
      </x:c>
      <x:c r="D38" s="44" t="str">
        <x:v>10:00</x:v>
      </x:c>
      <x:c r="E38" s="44" t="str">
        <x:v>Urgency</x:v>
      </x:c>
      <x:c r="F38" s="44" t="str">
        <x:v>Instagram + Facebook</x:v>
      </x:c>
      <x:c r="G38" s="44" t="str">
        <x:v>Reel</x:v>
      </x:c>
      <x:c r="H38" s="44" t="str">
        <x:v>Urgency</x:v>
      </x:c>
      <x:c r="I38" s="44" t="str">
        <x:v>48-hour Flash Finale</x:v>
      </x:c>
      <x:c r="J38" s="44" t="str">
        <x:v>48 HOURS LEFT</x:v>
      </x:c>
      <x:c r="K38" s="44" t="str">
        <x:v>Azadi Glow Week ends Sunday. Include both offer layers and CTA.</x:v>
      </x:c>
      <x:c r="L38" s="44" t="str">
        <x:v>Message AZADI + city</x:v>
      </x:c>
      <x:c r="M38" s="44" t="str">
        <x:v>9:16 motion</x:v>
      </x:c>
      <x:c r="N38" s="44" t="str">
        <x:v>Yes - heavy retarget</x:v>
      </x:c>
      <x:c r="O38" s="44" t="str">
        <x:v>Critical</x:v>
      </x:c>
      <x:c r="P38" s="59" t="str">
        <x:v>Video Editor</x:v>
      </x:c>
      <x:c r="Q38" s="48" t="n">
        <x:v>46246</x:v>
      </x:c>
      <x:c r="R38" s="59" t="str">
        <x:v>Not Started</x:v>
      </x:c>
      <x:c r="S38" s="59" t="str">
        <x:v>Use truthful urgency</x:v>
      </x:c>
    </x:row>
    <x:row r="39" ht="54" customHeight="1">
      <x:c r="A39" s="44" t="str">
        <x:v>AZ-1502</x:v>
      </x:c>
      <x:c r="B39" s="57" t="n">
        <x:v>46249</x:v>
      </x:c>
      <x:c r="C39" s="44" t="str">
        <x:v>Saturday</x:v>
      </x:c>
      <x:c r="D39" s="44" t="str">
        <x:v>12:00-21:00</x:v>
      </x:c>
      <x:c r="E39" s="44" t="str">
        <x:v>Urgency</x:v>
      </x:c>
      <x:c r="F39" s="44" t="str">
        <x:v>Instagram Stories</x:v>
      </x:c>
      <x:c r="G39" s="44" t="str">
        <x:v>Story Sequence</x:v>
      </x:c>
      <x:c r="H39" s="44" t="str">
        <x:v>Urgency</x:v>
      </x:c>
      <x:c r="I39" s="44" t="str">
        <x:v>Weekend countdown</x:v>
      </x:c>
      <x:c r="J39" s="44" t="str">
        <x:v>Two days left.</x:v>
      </x:c>
      <x:c r="K39" s="44" t="str">
        <x:v>Countdown, categories, objections, advisor clips and booking proof.</x:v>
      </x:c>
      <x:c r="L39" s="44" t="str">
        <x:v>Tap WhatsApp</x:v>
      </x:c>
      <x:c r="M39" s="44" t="str">
        <x:v>9:16, 9 frames</x:v>
      </x:c>
      <x:c r="N39" s="44" t="str">
        <x:v>No</x:v>
      </x:c>
      <x:c r="O39" s="44" t="str">
        <x:v>High</x:v>
      </x:c>
      <x:c r="P39" s="59" t="str">
        <x:v>Social Media Manager</x:v>
      </x:c>
      <x:c r="Q39" s="48" t="n">
        <x:v>46248</x:v>
      </x:c>
      <x:c r="R39" s="59" t="str">
        <x:v>Not Started</x:v>
      </x:c>
      <x:c r="S39" s="59" t="str">
        <x:v>Use real capacity updates only</x:v>
      </x:c>
    </x:row>
    <x:row r="40" ht="54" customHeight="1">
      <x:c r="A40" s="44" t="str">
        <x:v>AZ-1503</x:v>
      </x:c>
      <x:c r="B40" s="57" t="n">
        <x:v>46249</x:v>
      </x:c>
      <x:c r="C40" s="44" t="str">
        <x:v>Saturday</x:v>
      </x:c>
      <x:c r="D40" s="44" t="str">
        <x:v>11:00</x:v>
      </x:c>
      <x:c r="E40" s="44" t="str">
        <x:v>Urgency</x:v>
      </x:c>
      <x:c r="F40" s="44" t="str">
        <x:v>WhatsApp</x:v>
      </x:c>
      <x:c r="G40" s="44" t="str">
        <x:v>Broadcast</x:v>
      </x:c>
      <x:c r="H40" s="44" t="str">
        <x:v>Conversion</x:v>
      </x:c>
      <x:c r="I40" s="44" t="str">
        <x:v>48-hour reminder</x:v>
      </x:c>
      <x:c r="J40" s="44" t="str">
        <x:v>Azadi Glow Week ends Sunday.</x:v>
      </x:c>
      <x:c r="K40" s="44" t="str">
        <x:v>Send to appropriate unbooked segments only.</x:v>
      </x:c>
      <x:c r="L40" s="44" t="str">
        <x:v>Reply AZADI + city</x:v>
      </x:c>
      <x:c r="M40" s="44" t="str">
        <x:v>Text + card</x:v>
      </x:c>
      <x:c r="N40" s="44" t="str">
        <x:v>No</x:v>
      </x:c>
      <x:c r="O40" s="44" t="str">
        <x:v>Critical</x:v>
      </x:c>
      <x:c r="P40" s="59" t="str">
        <x:v>CRM Team</x:v>
      </x:c>
      <x:c r="Q40" s="48" t="n">
        <x:v>46248</x:v>
      </x:c>
      <x:c r="R40" s="59" t="str">
        <x:v>Not Started</x:v>
      </x:c>
      <x:c r="S40" s="59" t="str">
        <x:v>Exclude confirmed buyers</x:v>
      </x:c>
    </x:row>
    <x:row r="41" ht="54" customHeight="1">
      <x:c r="A41" s="44" t="str">
        <x:v>AZ-1504</x:v>
      </x:c>
      <x:c r="B41" s="57" t="n">
        <x:v>46249</x:v>
      </x:c>
      <x:c r="C41" s="44" t="str">
        <x:v>Saturday</x:v>
      </x:c>
      <x:c r="D41" s="44" t="str">
        <x:v>09:00</x:v>
      </x:c>
      <x:c r="E41" s="44" t="str">
        <x:v>Urgency</x:v>
      </x:c>
      <x:c r="F41" s="44" t="str">
        <x:v>Meta Ads</x:v>
      </x:c>
      <x:c r="G41" s="44" t="str">
        <x:v>Paid Optimization</x:v>
      </x:c>
      <x:c r="H41" s="44" t="str">
        <x:v>Conversion</x:v>
      </x:c>
      <x:c r="I41" s="44" t="str">
        <x:v>Finale budget shift</x:v>
      </x:c>
      <x:c r="J41" s="44" t="str">
        <x:v>48 hours left.</x:v>
      </x:c>
      <x:c r="K41" s="44" t="str">
        <x:v>Move spend to winning creatives and warm non-bookers.</x:v>
      </x:c>
      <x:c r="L41" s="44" t="str">
        <x:v>Send WhatsApp message</x:v>
      </x:c>
      <x:c r="M41" s="44" t="str">
        <x:v>Winning assets</x:v>
      </x:c>
      <x:c r="N41" s="44" t="str">
        <x:v>Yes</x:v>
      </x:c>
      <x:c r="O41" s="44" t="str">
        <x:v>Critical</x:v>
      </x:c>
      <x:c r="P41" s="59" t="str">
        <x:v>Paid Media Lead</x:v>
      </x:c>
      <x:c r="Q41" s="48" t="n">
        <x:v>46248</x:v>
      </x:c>
      <x:c r="R41" s="59" t="str">
        <x:v>Not Started</x:v>
      </x:c>
      <x:c r="S41" s="59" t="str">
        <x:v>Suppress confirmed buyers where practical</x:v>
      </x:c>
    </x:row>
    <x:row r="42" ht="54" customHeight="1">
      <x:c r="A42" s="44" t="str">
        <x:v>AZ-1601</x:v>
      </x:c>
      <x:c r="B42" s="57" t="n">
        <x:v>46250</x:v>
      </x:c>
      <x:c r="C42" s="44" t="str">
        <x:v>Sunday</x:v>
      </x:c>
      <x:c r="D42" s="44" t="str">
        <x:v>09:00</x:v>
      </x:c>
      <x:c r="E42" s="44" t="str">
        <x:v>Final Day</x:v>
      </x:c>
      <x:c r="F42" s="44" t="str">
        <x:v>Instagram + Facebook</x:v>
      </x:c>
      <x:c r="G42" s="44" t="str">
        <x:v>Reel</x:v>
      </x:c>
      <x:c r="H42" s="44" t="str">
        <x:v>Urgency</x:v>
      </x:c>
      <x:c r="I42" s="44" t="str">
        <x:v>Final-day Reel</x:v>
      </x:c>
      <x:c r="J42" s="44" t="str">
        <x:v>FINAL DAY</x:v>
      </x:c>
      <x:c r="K42" s="44" t="str">
        <x:v>Complete your approved booking before the stated closing time.</x:v>
      </x:c>
      <x:c r="L42" s="44" t="str">
        <x:v>Book now on WhatsApp</x:v>
      </x:c>
      <x:c r="M42" s="44" t="str">
        <x:v>9:16 video</x:v>
      </x:c>
      <x:c r="N42" s="44" t="str">
        <x:v>Yes - high intent</x:v>
      </x:c>
      <x:c r="O42" s="44" t="str">
        <x:v>Critical</x:v>
      </x:c>
      <x:c r="P42" s="59" t="str">
        <x:v>Video Editor</x:v>
      </x:c>
      <x:c r="Q42" s="48" t="n">
        <x:v>46247</x:v>
      </x:c>
      <x:c r="R42" s="59" t="str">
        <x:v>Not Started</x:v>
      </x:c>
      <x:c r="S42" s="59" t="str">
        <x:v>State exact close time</x:v>
      </x:c>
    </x:row>
    <x:row r="43" ht="54" customHeight="1">
      <x:c r="A43" s="44" t="str">
        <x:v>AZ-1602</x:v>
      </x:c>
      <x:c r="B43" s="57" t="n">
        <x:v>46250</x:v>
      </x:c>
      <x:c r="C43" s="44" t="str">
        <x:v>Sunday</x:v>
      </x:c>
      <x:c r="D43" s="44" t="str">
        <x:v>09:15 / 14:00</x:v>
      </x:c>
      <x:c r="E43" s="44" t="str">
        <x:v>Final Day</x:v>
      </x:c>
      <x:c r="F43" s="44" t="str">
        <x:v>Instagram Stories</x:v>
      </x:c>
      <x:c r="G43" s="44" t="str">
        <x:v>Story Sequence</x:v>
      </x:c>
      <x:c r="H43" s="44" t="str">
        <x:v>Urgency</x:v>
      </x:c>
      <x:c r="I43" s="44" t="str">
        <x:v>Morning + six-hour reminder</x:v>
      </x:c>
      <x:c r="J43" s="44" t="str">
        <x:v>Ends today.</x:v>
      </x:c>
      <x:c r="K43" s="44" t="str">
        <x:v>Offer summary, FAQ, remaining capacity and WhatsApp link.</x:v>
      </x:c>
      <x:c r="L43" s="44" t="str">
        <x:v>Complete your booking</x:v>
      </x:c>
      <x:c r="M43" s="44" t="str">
        <x:v>9:16, 6 frames</x:v>
      </x:c>
      <x:c r="N43" s="44" t="str">
        <x:v>No</x:v>
      </x:c>
      <x:c r="O43" s="44" t="str">
        <x:v>Critical</x:v>
      </x:c>
      <x:c r="P43" s="59" t="str">
        <x:v>Social Media Manager</x:v>
      </x:c>
      <x:c r="Q43" s="48" t="n">
        <x:v>46249</x:v>
      </x:c>
      <x:c r="R43" s="59" t="str">
        <x:v>Not Started</x:v>
      </x:c>
      <x:c r="S43" s="59" t="str">
        <x:v>No unverified slot claims</x:v>
      </x:c>
    </x:row>
    <x:row r="44" ht="54" customHeight="1">
      <x:c r="A44" s="44" t="str">
        <x:v>AZ-1603</x:v>
      </x:c>
      <x:c r="B44" s="57" t="n">
        <x:v>46250</x:v>
      </x:c>
      <x:c r="C44" s="44" t="str">
        <x:v>Sunday</x:v>
      </x:c>
      <x:c r="D44" s="44" t="str">
        <x:v>Closing -3h / -1h</x:v>
      </x:c>
      <x:c r="E44" s="44" t="str">
        <x:v>Final Day</x:v>
      </x:c>
      <x:c r="F44" s="44" t="str">
        <x:v>Instagram Stories</x:v>
      </x:c>
      <x:c r="G44" s="44" t="str">
        <x:v>Countdown</x:v>
      </x:c>
      <x:c r="H44" s="44" t="str">
        <x:v>Urgency</x:v>
      </x:c>
      <x:c r="I44" s="44" t="str">
        <x:v>Three-hour / one-hour close</x:v>
      </x:c>
      <x:c r="J44" s="44" t="str">
        <x:v>Last call.</x:v>
      </x:c>
      <x:c r="K44" s="44" t="str">
        <x:v>Simple countdown and closing-time reminder.</x:v>
      </x:c>
      <x:c r="L44" s="44" t="str">
        <x:v>Book before close</x:v>
      </x:c>
      <x:c r="M44" s="44" t="str">
        <x:v>9:16, 4 frames</x:v>
      </x:c>
      <x:c r="N44" s="44" t="str">
        <x:v>No</x:v>
      </x:c>
      <x:c r="O44" s="44" t="str">
        <x:v>Critical</x:v>
      </x:c>
      <x:c r="P44" s="59" t="str">
        <x:v>Social Media Manager</x:v>
      </x:c>
      <x:c r="Q44" s="48" t="n">
        <x:v>46249</x:v>
      </x:c>
      <x:c r="R44" s="59" t="str">
        <x:v>Not Started</x:v>
      </x:c>
      <x:c r="S44" s="59" t="str">
        <x:v>Prepare variants before day starts</x:v>
      </x:c>
    </x:row>
    <x:row r="45" ht="54" customHeight="1">
      <x:c r="A45" s="44" t="str">
        <x:v>AZ-1604</x:v>
      </x:c>
      <x:c r="B45" s="57" t="n">
        <x:v>46250</x:v>
      </x:c>
      <x:c r="C45" s="44" t="str">
        <x:v>Sunday</x:v>
      </x:c>
      <x:c r="D45" s="44" t="str">
        <x:v>10:00-closing</x:v>
      </x:c>
      <x:c r="E45" s="44" t="str">
        <x:v>Final Day</x:v>
      </x:c>
      <x:c r="F45" s="44" t="str">
        <x:v>WhatsApp</x:v>
      </x:c>
      <x:c r="G45" s="44" t="str">
        <x:v>Personal Follow-up</x:v>
      </x:c>
      <x:c r="H45" s="44" t="str">
        <x:v>Conversion</x:v>
      </x:c>
      <x:c r="I45" s="44" t="str">
        <x:v>Final qualified-lead close</x:v>
      </x:c>
      <x:c r="J45" s="44" t="str">
        <x:v>Can we complete your booking today?</x:v>
      </x:c>
      <x:c r="K45" s="44" t="str">
        <x:v>Personal follow-up for every qualified open lead.</x:v>
      </x:c>
      <x:c r="L45" s="44" t="str">
        <x:v>Confirm branch / payment</x:v>
      </x:c>
      <x:c r="M45" s="44" t="str">
        <x:v>Text / call</x:v>
      </x:c>
      <x:c r="N45" s="44" t="str">
        <x:v>No</x:v>
      </x:c>
      <x:c r="O45" s="44" t="str">
        <x:v>Critical</x:v>
      </x:c>
      <x:c r="P45" s="59" t="str">
        <x:v>CRM Team</x:v>
      </x:c>
      <x:c r="Q45" s="48" t="n">
        <x:v>46249</x:v>
      </x:c>
      <x:c r="R45" s="59" t="str">
        <x:v>Not Started</x:v>
      </x:c>
      <x:c r="S45" s="59" t="str">
        <x:v>No public extension</x:v>
      </x:c>
    </x:row>
    <x:row r="46" ht="54" customHeight="1">
      <x:c r="A46" s="44" t="str">
        <x:v>AZ-1605</x:v>
      </x:c>
      <x:c r="B46" s="57" t="n">
        <x:v>46250</x:v>
      </x:c>
      <x:c r="C46" s="44" t="str">
        <x:v>Sunday</x:v>
      </x:c>
      <x:c r="D46" s="44" t="str">
        <x:v>After close</x:v>
      </x:c>
      <x:c r="E46" s="44" t="str">
        <x:v>Final Day</x:v>
      </x:c>
      <x:c r="F46" s="44" t="str">
        <x:v>Instagram Stories</x:v>
      </x:c>
      <x:c r="G46" s="44" t="str">
        <x:v>Thank You</x:v>
      </x:c>
      <x:c r="H46" s="44" t="str">
        <x:v>Brand</x:v>
      </x:c>
      <x:c r="I46" s="44" t="str">
        <x:v>Campaign close</x:v>
      </x:c>
      <x:c r="J46" s="44" t="str">
        <x:v>Thank you for celebrating with Venus.</x:v>
      </x:c>
      <x:c r="K46" s="44" t="str">
        <x:v>Campaign closed; confirmations continue for completed bookings.</x:v>
      </x:c>
      <x:c r="L46" s="44" t="str">
        <x:v>Watch for future updates</x:v>
      </x:c>
      <x:c r="M46" s="44" t="str">
        <x:v>9:16, 2 frames</x:v>
      </x:c>
      <x:c r="N46" s="44" t="str">
        <x:v>No</x:v>
      </x:c>
      <x:c r="O46" s="44" t="str">
        <x:v>Medium</x:v>
      </x:c>
      <x:c r="P46" s="59" t="str">
        <x:v>Social Media Manager</x:v>
      </x:c>
      <x:c r="Q46" s="48" t="n">
        <x:v>46249</x:v>
      </x:c>
      <x:c r="R46" s="59" t="str">
        <x:v>Not Started</x:v>
      </x:c>
      <x:c r="S46" s="59" t="str">
        <x:v>Stop all sale creative first</x:v>
      </x:c>
    </x:row>
  </x:sheetData>
  <x:mergeCells>
    <x:mergeCell ref="A1:S1"/>
    <x:mergeCell ref="A2:S2"/>
  </x:mergeCells>
  <x:conditionalFormatting sqref="O5:O46">
    <x:cfRule type="containsText" dxfId="1" priority="1" operator="containsText" text="Critical"/>
    <x:cfRule type="containsText" dxfId="2" priority="2" operator="containsText" text="High"/>
    <x:cfRule type="containsText" dxfId="3" priority="3" operator="containsText" text="Medium"/>
    <x:cfRule type="containsText" dxfId="4" priority="4" operator="containsText" text="Low"/>
  </x:conditionalFormatting>
  <x:conditionalFormatting sqref="R5:R46">
    <x:cfRule type="containsText" dxfId="5" priority="5" operator="containsText" text="Not Started"/>
    <x:cfRule type="containsText" dxfId="6" priority="6" operator="containsText" text="In Production"/>
    <x:cfRule type="containsText" dxfId="7" priority="7" operator="containsText" text="Internal Review"/>
    <x:cfRule type="containsText" dxfId="8" priority="8" operator="containsText" text="Approved"/>
    <x:cfRule type="containsText" dxfId="9" priority="9" operator="containsText" text="Scheduled"/>
    <x:cfRule type="containsText" dxfId="10" priority="10" operator="containsText" text="Published"/>
    <x:cfRule type="containsText" dxfId="11" priority="11" operator="containsText" text="Hold"/>
  </x:conditionalFormatting>
  <x:dataValidations count="3">
    <x:dataValidation type="list" sqref="O5:O46">
      <x:formula1>"Critical,High,Medium,Low"</x:formula1>
    </x:dataValidation>
    <x:dataValidation type="list" sqref="P5:P46">
      <x:formula1>"Marketing Lead,Social Media Manager,Copywriter,Designer,Video Editor,Paid Media Lead,CRM Team,Creator Manager,Branch Manager,Clinical Reviewer,Finance Reviewer"</x:formula1>
    </x:dataValidation>
    <x:dataValidation type="list" sqref="R5:R46">
      <x:formula1>"Not Started,In Production,Internal Review,Approved,Scheduled,Published,Hold"</x:formula1>
    </x:dataValidation>
  </x:dataValidations>
  <x:pageMargins left="0.7" right="0.7" top="0.75" bottom="0.75" header="0.3" footer="0.3"/>
  <x:legacyDrawing xmlns:r="http://schemas.openxmlformats.org/officeDocument/2006/relationships" r:id="R415072f27dc546fc"/>
  <x:tableParts count="1">
    <x:tablePart xmlns:r="http://schemas.openxmlformats.org/officeDocument/2006/relationships" r:id="R6f780a8d4e7349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28" hidden="0" customWidth="1"/>
    <x:col min="4" max="4" width="13" hidden="0" customWidth="1"/>
    <x:col min="5" max="5" width="15" hidden="0" customWidth="1"/>
    <x:col min="6" max="6" width="14" hidden="0" customWidth="1"/>
    <x:col min="7" max="7" width="13" hidden="0" customWidth="1"/>
    <x:col min="8" max="8" width="22" hidden="0" customWidth="1"/>
    <x:col min="9" max="9" width="22" hidden="0" customWidth="1"/>
    <x:col min="10" max="10" width="18" hidden="0" customWidth="1"/>
    <x:col min="11" max="11" width="35" hidden="0" customWidth="1"/>
    <x:col min="12" max="12" width="32" hidden="0" customWidth="1"/>
  </x:cols>
  <x:sheetData>
    <x:row r="1" ht="32" customHeight="1">
      <x:c r="A1" s="4" t="str">
        <x:v>PRODUCTION TRACKER</x:v>
      </x:c>
      <x:c r="B1" s="4" t="str">
        <x:v>PRODUCTION TRACKER</x:v>
      </x:c>
      <x:c r="C1" s="4" t="str">
        <x:v>PRODUCTION TRACKER</x:v>
      </x:c>
      <x:c r="D1" s="4" t="str">
        <x:v>PRODUCTION TRACKER</x:v>
      </x:c>
      <x:c r="E1" s="4" t="str">
        <x:v>PRODUCTION TRACKER</x:v>
      </x:c>
      <x:c r="F1" s="4" t="str">
        <x:v>PRODUCTION TRACKER</x:v>
      </x:c>
      <x:c r="G1" s="4" t="str">
        <x:v>PRODUCTION TRACKER</x:v>
      </x:c>
      <x:c r="H1" s="4" t="str">
        <x:v>PRODUCTION TRACKER</x:v>
      </x:c>
      <x:c r="I1" s="4" t="str">
        <x:v>PRODUCTION TRACKER</x:v>
      </x:c>
      <x:c r="J1" s="4" t="str">
        <x:v>PRODUCTION TRACKER</x:v>
      </x:c>
      <x:c r="K1" s="4" t="str">
        <x:v>PRODUCTION TRACKER</x:v>
      </x:c>
      <x:c r="L1" s="4" t="str">
        <x:v>PRODUCTION TRACKER</x:v>
      </x:c>
    </x:row>
    <x:row r="2" ht="24" customHeight="1">
      <x:c r="A2" s="8" t="str">
        <x:v>Editable asset tracker | Yellow cells are team inputs | Status is color-coded</x:v>
      </x:c>
      <x:c r="B2" s="8" t="str">
        <x:v>Editable asset tracker | Yellow cells are team inputs | Status is color-coded</x:v>
      </x:c>
      <x:c r="C2" s="8" t="str">
        <x:v>Editable asset tracker | Yellow cells are team inputs | Status is color-coded</x:v>
      </x:c>
      <x:c r="D2" s="8" t="str">
        <x:v>Editable asset tracker | Yellow cells are team inputs | Status is color-coded</x:v>
      </x:c>
      <x:c r="E2" s="8" t="str">
        <x:v>Editable asset tracker | Yellow cells are team inputs | Status is color-coded</x:v>
      </x:c>
      <x:c r="F2" s="8" t="str">
        <x:v>Editable asset tracker | Yellow cells are team inputs | Status is color-coded</x:v>
      </x:c>
      <x:c r="G2" s="8" t="str">
        <x:v>Editable asset tracker | Yellow cells are team inputs | Status is color-coded</x:v>
      </x:c>
      <x:c r="H2" s="8" t="str">
        <x:v>Editable asset tracker | Yellow cells are team inputs | Status is color-coded</x:v>
      </x:c>
      <x:c r="I2" s="8" t="str">
        <x:v>Editable asset tracker | Yellow cells are team inputs | Status is color-coded</x:v>
      </x:c>
      <x:c r="J2" s="8" t="str">
        <x:v>Editable asset tracker | Yellow cells are team inputs | Status is color-coded</x:v>
      </x:c>
      <x:c r="K2" s="8" t="str">
        <x:v>Editable asset tracker | Yellow cells are team inputs | Status is color-coded</x:v>
      </x:c>
      <x:c r="L2" s="8" t="str">
        <x:v>Editable asset tracker | Yellow cells are team inputs | Status is color-coded</x:v>
      </x:c>
    </x:row>
    <x:row r="4" ht="30" customHeight="1">
      <x:c r="A4" s="37" t="str">
        <x:v>Asset ID</x:v>
      </x:c>
      <x:c r="B4" s="37" t="str">
        <x:v>Asset</x:v>
      </x:c>
      <x:c r="C4" s="37" t="str">
        <x:v>Variants</x:v>
      </x:c>
      <x:c r="D4" s="37" t="str">
        <x:v>Copy Final</x:v>
      </x:c>
      <x:c r="E4" s="37" t="str">
        <x:v>Production Due</x:v>
      </x:c>
      <x:c r="F4" s="37" t="str">
        <x:v>Approval Due</x:v>
      </x:c>
      <x:c r="G4" s="37" t="str">
        <x:v>Live Date</x:v>
      </x:c>
      <x:c r="H4" s="37" t="str">
        <x:v>Owner</x:v>
      </x:c>
      <x:c r="I4" s="37" t="str">
        <x:v>Reviewer</x:v>
      </x:c>
      <x:c r="J4" s="37" t="str">
        <x:v>Status</x:v>
      </x:c>
      <x:c r="K4" s="37" t="str">
        <x:v>Dependency</x:v>
      </x:c>
      <x:c r="L4" s="37" t="str">
        <x:v>File Link / Notes</x:v>
      </x:c>
    </x:row>
    <x:row r="5" ht="46" customHeight="1">
      <x:c r="A5" s="43" t="str">
        <x:v>P-001</x:v>
      </x:c>
      <x:c r="B5" s="43" t="str">
        <x:v>Master teaser Reel 1</x:v>
      </x:c>
      <x:c r="C5" s="43" t="str">
        <x:v>Master + city end card</x:v>
      </x:c>
      <x:c r="D5" s="47" t="n">
        <x:v>46238</x:v>
      </x:c>
      <x:c r="E5" s="47" t="n">
        <x:v>46239</x:v>
      </x:c>
      <x:c r="F5" s="47" t="n">
        <x:v>46240</x:v>
      </x:c>
      <x:c r="G5" s="47" t="n">
        <x:v>46241</x:v>
      </x:c>
      <x:c r="H5" s="58" t="str">
        <x:v>Video Editor</x:v>
      </x:c>
      <x:c r="I5" s="58" t="str">
        <x:v>Marketing Lead</x:v>
      </x:c>
      <x:c r="J5" s="58" t="str">
        <x:v>Not Started</x:v>
      </x:c>
      <x:c r="K5" s="43" t="str">
        <x:v>Campaign name + visual direction</x:v>
      </x:c>
      <x:c r="L5" s="58" t="str"/>
    </x:row>
    <x:row r="6" ht="46" customHeight="1">
      <x:c r="A6" s="44" t="str">
        <x:v>P-002</x:v>
      </x:c>
      <x:c r="B6" s="44" t="str">
        <x:v>Category teaser Reel 2</x:v>
      </x:c>
      <x:c r="C6" s="44" t="str">
        <x:v>Master</x:v>
      </x:c>
      <x:c r="D6" s="48" t="n">
        <x:v>46238</x:v>
      </x:c>
      <x:c r="E6" s="48" t="n">
        <x:v>46239</x:v>
      </x:c>
      <x:c r="F6" s="48" t="n">
        <x:v>46240</x:v>
      </x:c>
      <x:c r="G6" s="48" t="n">
        <x:v>46242</x:v>
      </x:c>
      <x:c r="H6" s="59" t="str">
        <x:v>Video Editor</x:v>
      </x:c>
      <x:c r="I6" s="59" t="str">
        <x:v>Marketing Lead</x:v>
      </x:c>
      <x:c r="J6" s="59" t="str">
        <x:v>Not Started</x:v>
      </x:c>
      <x:c r="K6" s="44" t="str">
        <x:v>Approved categories</x:v>
      </x:c>
      <x:c r="L6" s="59" t="str"/>
    </x:row>
    <x:row r="7" ht="46" customHeight="1">
      <x:c r="A7" s="44" t="str">
        <x:v>P-003</x:v>
      </x:c>
      <x:c r="B7" s="44" t="str">
        <x:v>Hero reveal Reel</x:v>
      </x:c>
      <x:c r="C7" s="44" t="str">
        <x:v>Master + city end cards</x:v>
      </x:c>
      <x:c r="D7" s="48" t="n">
        <x:v>46238</x:v>
      </x:c>
      <x:c r="E7" s="48" t="n">
        <x:v>46239</x:v>
      </x:c>
      <x:c r="F7" s="48" t="n">
        <x:v>46240</x:v>
      </x:c>
      <x:c r="G7" s="48" t="n">
        <x:v>46243</x:v>
      </x:c>
      <x:c r="H7" s="59" t="str">
        <x:v>Video Editor</x:v>
      </x:c>
      <x:c r="I7" s="59" t="str">
        <x:v>Finance Reviewer</x:v>
      </x:c>
      <x:c r="J7" s="59" t="str">
        <x:v>Not Started</x:v>
      </x:c>
      <x:c r="K7" s="44" t="str">
        <x:v>Final offer wording</x:v>
      </x:c>
      <x:c r="L7" s="59" t="str"/>
    </x:row>
    <x:row r="8" ht="46" customHeight="1">
      <x:c r="A8" s="44" t="str">
        <x:v>P-004</x:v>
      </x:c>
      <x:c r="B8" s="44" t="str">
        <x:v>Campaign reveal carousel</x:v>
      </x:c>
      <x:c r="C8" s="44" t="str">
        <x:v>Master + branch variants</x:v>
      </x:c>
      <x:c r="D8" s="48" t="n">
        <x:v>46238</x:v>
      </x:c>
      <x:c r="E8" s="48" t="n">
        <x:v>46239</x:v>
      </x:c>
      <x:c r="F8" s="48" t="n">
        <x:v>46240</x:v>
      </x:c>
      <x:c r="G8" s="48" t="n">
        <x:v>46243</x:v>
      </x:c>
      <x:c r="H8" s="59" t="str">
        <x:v>Designer</x:v>
      </x:c>
      <x:c r="I8" s="59" t="str">
        <x:v>Finance Reviewer</x:v>
      </x:c>
      <x:c r="J8" s="59" t="str">
        <x:v>Not Started</x:v>
      </x:c>
      <x:c r="K8" s="44" t="str">
        <x:v>Offer matrix + terms</x:v>
      </x:c>
      <x:c r="L8" s="59" t="str"/>
    </x:row>
    <x:row r="9" ht="46" customHeight="1">
      <x:c r="A9" s="44" t="str">
        <x:v>P-005</x:v>
      </x:c>
      <x:c r="B9" s="44" t="str">
        <x:v>Launch hero Reel</x:v>
      </x:c>
      <x:c r="C9" s="44" t="str">
        <x:v>Master + city variants</x:v>
      </x:c>
      <x:c r="D9" s="48" t="n">
        <x:v>46238</x:v>
      </x:c>
      <x:c r="E9" s="48" t="n">
        <x:v>46239</x:v>
      </x:c>
      <x:c r="F9" s="48" t="n">
        <x:v>46240</x:v>
      </x:c>
      <x:c r="G9" s="48" t="n">
        <x:v>46244</x:v>
      </x:c>
      <x:c r="H9" s="59" t="str">
        <x:v>Video Editor</x:v>
      </x:c>
      <x:c r="I9" s="59" t="str">
        <x:v>Marketing Lead</x:v>
      </x:c>
      <x:c r="J9" s="59" t="str">
        <x:v>Not Started</x:v>
      </x:c>
      <x:c r="K9" s="44" t="str">
        <x:v>Hero reveal master</x:v>
      </x:c>
      <x:c r="L9" s="59" t="str"/>
    </x:row>
    <x:row r="10" ht="46" customHeight="1">
      <x:c r="A10" s="44" t="str">
        <x:v>P-006</x:v>
      </x:c>
      <x:c r="B10" s="44" t="str">
        <x:v>Full offer carousel</x:v>
      </x:c>
      <x:c r="C10" s="44" t="str">
        <x:v>Master + branch variants</x:v>
      </x:c>
      <x:c r="D10" s="48" t="n">
        <x:v>46238</x:v>
      </x:c>
      <x:c r="E10" s="48" t="n">
        <x:v>46240</x:v>
      </x:c>
      <x:c r="F10" s="48" t="n">
        <x:v>46241</x:v>
      </x:c>
      <x:c r="G10" s="48" t="n">
        <x:v>46244</x:v>
      </x:c>
      <x:c r="H10" s="59" t="str">
        <x:v>Designer</x:v>
      </x:c>
      <x:c r="I10" s="59" t="str">
        <x:v>Finance Reviewer</x:v>
      </x:c>
      <x:c r="J10" s="59" t="str">
        <x:v>Not Started</x:v>
      </x:c>
      <x:c r="K10" s="44" t="str">
        <x:v>Exact bundle and treatment list</x:v>
      </x:c>
      <x:c r="L10" s="59" t="str"/>
    </x:row>
    <x:row r="11" ht="46" customHeight="1">
      <x:c r="A11" s="44" t="str">
        <x:v>P-007</x:v>
      </x:c>
      <x:c r="B11" s="44" t="str">
        <x:v>Bundle spotlight set</x:v>
      </x:c>
      <x:c r="C11" s="44" t="str">
        <x:v>4-6 bundle assets</x:v>
      </x:c>
      <x:c r="D11" s="48" t="n">
        <x:v>46239</x:v>
      </x:c>
      <x:c r="E11" s="48" t="n">
        <x:v>46242</x:v>
      </x:c>
      <x:c r="F11" s="48" t="n">
        <x:v>46243</x:v>
      </x:c>
      <x:c r="G11" s="48" t="n">
        <x:v>46245</x:v>
      </x:c>
      <x:c r="H11" s="59" t="str">
        <x:v>Designer</x:v>
      </x:c>
      <x:c r="I11" s="59" t="str">
        <x:v>Finance Reviewer</x:v>
      </x:c>
      <x:c r="J11" s="59" t="str">
        <x:v>Not Started</x:v>
      </x:c>
      <x:c r="K11" s="44" t="str">
        <x:v>Bundle matrix</x:v>
      </x:c>
      <x:c r="L11" s="59" t="str"/>
    </x:row>
    <x:row r="12" ht="46" customHeight="1">
      <x:c r="A12" s="44" t="str">
        <x:v>P-008</x:v>
      </x:c>
      <x:c r="B12" s="44" t="str">
        <x:v>Advisor bundle explainer</x:v>
      </x:c>
      <x:c r="C12" s="44" t="str">
        <x:v>1 vertical video</x:v>
      </x:c>
      <x:c r="D12" s="48" t="n">
        <x:v>46240</x:v>
      </x:c>
      <x:c r="E12" s="48" t="n">
        <x:v>46243</x:v>
      </x:c>
      <x:c r="F12" s="48" t="n">
        <x:v>46244</x:v>
      </x:c>
      <x:c r="G12" s="48" t="n">
        <x:v>46245</x:v>
      </x:c>
      <x:c r="H12" s="59" t="str">
        <x:v>Video Editor</x:v>
      </x:c>
      <x:c r="I12" s="59" t="str">
        <x:v>Clinical Reviewer</x:v>
      </x:c>
      <x:c r="J12" s="59" t="str">
        <x:v>Not Started</x:v>
      </x:c>
      <x:c r="K12" s="44" t="str">
        <x:v>Advisor availability</x:v>
      </x:c>
      <x:c r="L12" s="59" t="str"/>
    </x:row>
    <x:row r="13" ht="46" customHeight="1">
      <x:c r="A13" s="44" t="str">
        <x:v>P-009</x:v>
      </x:c>
      <x:c r="B13" s="44" t="str">
        <x:v>20% eligibility Reel</x:v>
      </x:c>
      <x:c r="C13" s="44" t="str">
        <x:v>1 master</x:v>
      </x:c>
      <x:c r="D13" s="48" t="n">
        <x:v>46240</x:v>
      </x:c>
      <x:c r="E13" s="48" t="n">
        <x:v>46243</x:v>
      </x:c>
      <x:c r="F13" s="48" t="n">
        <x:v>46244</x:v>
      </x:c>
      <x:c r="G13" s="48" t="n">
        <x:v>46246</x:v>
      </x:c>
      <x:c r="H13" s="59" t="str">
        <x:v>Video Editor</x:v>
      </x:c>
      <x:c r="I13" s="59" t="str">
        <x:v>Clinical Reviewer</x:v>
      </x:c>
      <x:c r="J13" s="59" t="str">
        <x:v>Not Started</x:v>
      </x:c>
      <x:c r="K13" s="44" t="str">
        <x:v>Eligible treatment list</x:v>
      </x:c>
      <x:c r="L13" s="59" t="str"/>
    </x:row>
    <x:row r="14" ht="46" customHeight="1">
      <x:c r="A14" s="44" t="str">
        <x:v>P-010</x:v>
      </x:c>
      <x:c r="B14" s="44" t="str">
        <x:v>Eligible treatment carousel</x:v>
      </x:c>
      <x:c r="C14" s="44" t="str">
        <x:v>1 master + branches</x:v>
      </x:c>
      <x:c r="D14" s="48" t="n">
        <x:v>46240</x:v>
      </x:c>
      <x:c r="E14" s="48" t="n">
        <x:v>46243</x:v>
      </x:c>
      <x:c r="F14" s="48" t="n">
        <x:v>46244</x:v>
      </x:c>
      <x:c r="G14" s="48" t="n">
        <x:v>46246</x:v>
      </x:c>
      <x:c r="H14" s="59" t="str">
        <x:v>Designer</x:v>
      </x:c>
      <x:c r="I14" s="59" t="str">
        <x:v>Clinical Reviewer</x:v>
      </x:c>
      <x:c r="J14" s="59" t="str">
        <x:v>Not Started</x:v>
      </x:c>
      <x:c r="K14" s="44" t="str">
        <x:v>Eligible treatment list</x:v>
      </x:c>
      <x:c r="L14" s="59" t="str"/>
    </x:row>
    <x:row r="15" ht="46" customHeight="1">
      <x:c r="A15" s="44" t="str">
        <x:v>P-011</x:v>
      </x:c>
      <x:c r="B15" s="44" t="str">
        <x:v>Doctor FAQ Reel</x:v>
      </x:c>
      <x:c r="C15" s="44" t="str">
        <x:v>1 master + clips</x:v>
      </x:c>
      <x:c r="D15" s="48" t="n">
        <x:v>46241</x:v>
      </x:c>
      <x:c r="E15" s="48" t="n">
        <x:v>46244</x:v>
      </x:c>
      <x:c r="F15" s="48" t="n">
        <x:v>46245</x:v>
      </x:c>
      <x:c r="G15" s="48" t="n">
        <x:v>46247</x:v>
      </x:c>
      <x:c r="H15" s="59" t="str">
        <x:v>Video Editor</x:v>
      </x:c>
      <x:c r="I15" s="59" t="str">
        <x:v>Clinical Reviewer</x:v>
      </x:c>
      <x:c r="J15" s="59" t="str">
        <x:v>Not Started</x:v>
      </x:c>
      <x:c r="K15" s="44" t="str">
        <x:v>Doctor script + shoot</x:v>
      </x:c>
      <x:c r="L15" s="59" t="str"/>
    </x:row>
    <x:row r="16" ht="46" customHeight="1">
      <x:c r="A16" s="44" t="str">
        <x:v>P-012</x:v>
      </x:c>
      <x:c r="B16" s="44" t="str">
        <x:v>Testimonial / review cards</x:v>
      </x:c>
      <x:c r="C16" s="44" t="str">
        <x:v>3-5</x:v>
      </x:c>
      <x:c r="D16" s="48" t="n">
        <x:v>46241</x:v>
      </x:c>
      <x:c r="E16" s="48" t="n">
        <x:v>46244</x:v>
      </x:c>
      <x:c r="F16" s="48" t="n">
        <x:v>46245</x:v>
      </x:c>
      <x:c r="G16" s="48" t="n">
        <x:v>46247</x:v>
      </x:c>
      <x:c r="H16" s="59" t="str">
        <x:v>Designer</x:v>
      </x:c>
      <x:c r="I16" s="59" t="str">
        <x:v>Clinical Reviewer</x:v>
      </x:c>
      <x:c r="J16" s="59" t="str">
        <x:v>Not Started</x:v>
      </x:c>
      <x:c r="K16" s="44" t="str">
        <x:v>Consent + approved review text</x:v>
      </x:c>
      <x:c r="L16" s="59" t="str"/>
    </x:row>
    <x:row r="17" ht="46" customHeight="1">
      <x:c r="A17" s="44" t="str">
        <x:v>P-013</x:v>
      </x:c>
      <x:c r="B17" s="44" t="str">
        <x:v>14 August hero Reel</x:v>
      </x:c>
      <x:c r="C17" s="44" t="str">
        <x:v>Master + city end cards</x:v>
      </x:c>
      <x:c r="D17" s="48" t="n">
        <x:v>46241</x:v>
      </x:c>
      <x:c r="E17" s="48" t="n">
        <x:v>46245</x:v>
      </x:c>
      <x:c r="F17" s="48" t="n">
        <x:v>46246</x:v>
      </x:c>
      <x:c r="G17" s="48" t="n">
        <x:v>46248</x:v>
      </x:c>
      <x:c r="H17" s="59" t="str">
        <x:v>Video Editor</x:v>
      </x:c>
      <x:c r="I17" s="59" t="str">
        <x:v>Marketing Lead</x:v>
      </x:c>
      <x:c r="J17" s="59" t="str">
        <x:v>Not Started</x:v>
      </x:c>
      <x:c r="K17" s="44" t="str">
        <x:v>Founder / doctor shoot</x:v>
      </x:c>
      <x:c r="L17" s="59" t="str"/>
    </x:row>
    <x:row r="18" ht="46" customHeight="1">
      <x:c r="A18" s="44" t="str">
        <x:v>P-014</x:v>
      </x:c>
      <x:c r="B18" s="44" t="str">
        <x:v>Creator briefing pack</x:v>
      </x:c>
      <x:c r="C18" s="44" t="str">
        <x:v>Per priority city</x:v>
      </x:c>
      <x:c r="D18" s="48" t="n">
        <x:v>46238</x:v>
      </x:c>
      <x:c r="E18" s="48" t="n">
        <x:v>46239</x:v>
      </x:c>
      <x:c r="F18" s="48" t="n">
        <x:v>46240</x:v>
      </x:c>
      <x:c r="G18" s="48" t="n">
        <x:v>46242</x:v>
      </x:c>
      <x:c r="H18" s="59" t="str">
        <x:v>Creator Manager</x:v>
      </x:c>
      <x:c r="I18" s="59" t="str">
        <x:v>Marketing Lead</x:v>
      </x:c>
      <x:c r="J18" s="59" t="str">
        <x:v>Not Started</x:v>
      </x:c>
      <x:c r="K18" s="44" t="str">
        <x:v>Offer wording + disclosures</x:v>
      </x:c>
      <x:c r="L18" s="59" t="str"/>
    </x:row>
    <x:row r="19" ht="46" customHeight="1">
      <x:c r="A19" s="44" t="str">
        <x:v>P-015</x:v>
      </x:c>
      <x:c r="B19" s="44" t="str">
        <x:v>48-hour finale motion</x:v>
      </x:c>
      <x:c r="C19" s="44" t="str">
        <x:v>9:16 + 4:5</x:v>
      </x:c>
      <x:c r="D19" s="48" t="n">
        <x:v>46242</x:v>
      </x:c>
      <x:c r="E19" s="48" t="n">
        <x:v>46246</x:v>
      </x:c>
      <x:c r="F19" s="48" t="n">
        <x:v>46247</x:v>
      </x:c>
      <x:c r="G19" s="48" t="n">
        <x:v>46249</x:v>
      </x:c>
      <x:c r="H19" s="59" t="str">
        <x:v>Video Editor</x:v>
      </x:c>
      <x:c r="I19" s="59" t="str">
        <x:v>Marketing Lead</x:v>
      </x:c>
      <x:c r="J19" s="59" t="str">
        <x:v>Not Started</x:v>
      </x:c>
      <x:c r="K19" s="44" t="str">
        <x:v>Exact closing date</x:v>
      </x:c>
      <x:c r="L19" s="59" t="str"/>
    </x:row>
    <x:row r="20" ht="46" customHeight="1">
      <x:c r="A20" s="44" t="str">
        <x:v>P-016</x:v>
      </x:c>
      <x:c r="B20" s="44" t="str">
        <x:v>Final-day Reel + cards</x:v>
      </x:c>
      <x:c r="C20" s="44" t="str">
        <x:v>Morning + closing variants</x:v>
      </x:c>
      <x:c r="D20" s="48" t="n">
        <x:v>46242</x:v>
      </x:c>
      <x:c r="E20" s="48" t="n">
        <x:v>46246</x:v>
      </x:c>
      <x:c r="F20" s="48" t="n">
        <x:v>46247</x:v>
      </x:c>
      <x:c r="G20" s="48" t="n">
        <x:v>46250</x:v>
      </x:c>
      <x:c r="H20" s="59" t="str">
        <x:v>Designer</x:v>
      </x:c>
      <x:c r="I20" s="59" t="str">
        <x:v>Marketing Lead</x:v>
      </x:c>
      <x:c r="J20" s="59" t="str">
        <x:v>Not Started</x:v>
      </x:c>
      <x:c r="K20" s="44" t="str">
        <x:v>Exact closing time</x:v>
      </x:c>
      <x:c r="L20" s="59" t="str"/>
    </x:row>
    <x:row r="21" ht="46" customHeight="1">
      <x:c r="A21" s="44" t="str">
        <x:v>P-017</x:v>
      </x:c>
      <x:c r="B21" s="44" t="str">
        <x:v>Reusable Story templates</x:v>
      </x:c>
      <x:c r="C21" s="44" t="str">
        <x:v>8-frame system</x:v>
      </x:c>
      <x:c r="D21" s="48" t="n">
        <x:v>46238</x:v>
      </x:c>
      <x:c r="E21" s="48" t="n">
        <x:v>46239</x:v>
      </x:c>
      <x:c r="F21" s="48" t="n">
        <x:v>46240</x:v>
      </x:c>
      <x:c r="G21" s="48" t="n">
        <x:v>46241</x:v>
      </x:c>
      <x:c r="H21" s="59" t="str">
        <x:v>Designer</x:v>
      </x:c>
      <x:c r="I21" s="59" t="str">
        <x:v>Social Media Manager</x:v>
      </x:c>
      <x:c r="J21" s="59" t="str">
        <x:v>Not Started</x:v>
      </x:c>
      <x:c r="K21" s="44" t="str">
        <x:v>Brand system</x:v>
      </x:c>
      <x:c r="L21" s="59" t="str"/>
    </x:row>
    <x:row r="22" ht="46" customHeight="1">
      <x:c r="A22" s="44" t="str">
        <x:v>P-018</x:v>
      </x:c>
      <x:c r="B22" s="44" t="str">
        <x:v>WhatsApp cards</x:v>
      </x:c>
      <x:c r="C22" s="44" t="str">
        <x:v>Tease / reveal / reminder / close</x:v>
      </x:c>
      <x:c r="D22" s="48" t="n">
        <x:v>46238</x:v>
      </x:c>
      <x:c r="E22" s="48" t="n">
        <x:v>46240</x:v>
      </x:c>
      <x:c r="F22" s="48" t="n">
        <x:v>46241</x:v>
      </x:c>
      <x:c r="G22" s="48" t="n">
        <x:v>46243</x:v>
      </x:c>
      <x:c r="H22" s="59" t="str">
        <x:v>Designer</x:v>
      </x:c>
      <x:c r="I22" s="59" t="str">
        <x:v>CRM Team</x:v>
      </x:c>
      <x:c r="J22" s="59" t="str">
        <x:v>Not Started</x:v>
      </x:c>
      <x:c r="K22" s="44" t="str">
        <x:v>Offer wording + branch links</x:v>
      </x:c>
      <x:c r="L22" s="59" t="str"/>
    </x:row>
    <x:row r="23" ht="46" customHeight="1">
      <x:c r="A23" s="44" t="str">
        <x:v>P-019</x:v>
      </x:c>
      <x:c r="B23" s="44" t="str">
        <x:v>Branch poster / desk card</x:v>
      </x:c>
      <x:c r="C23" s="44" t="str">
        <x:v>Per branch</x:v>
      </x:c>
      <x:c r="D23" s="48" t="n">
        <x:v>46238</x:v>
      </x:c>
      <x:c r="E23" s="48" t="n">
        <x:v>46239</x:v>
      </x:c>
      <x:c r="F23" s="48" t="n">
        <x:v>46240</x:v>
      </x:c>
      <x:c r="G23" s="48" t="n">
        <x:v>46243</x:v>
      </x:c>
      <x:c r="H23" s="59" t="str">
        <x:v>Designer</x:v>
      </x:c>
      <x:c r="I23" s="59" t="str">
        <x:v>Branch Manager</x:v>
      </x:c>
      <x:c r="J23" s="59" t="str">
        <x:v>Not Started</x:v>
      </x:c>
      <x:c r="K23" s="44" t="str">
        <x:v>QR + price sheet</x:v>
      </x:c>
      <x:c r="L23" s="59" t="str"/>
    </x:row>
    <x:row r="24" ht="46" customHeight="1">
      <x:c r="A24" s="44" t="str">
        <x:v>P-020</x:v>
      </x:c>
      <x:c r="B24" s="44" t="str">
        <x:v>Paid ad variants</x:v>
      </x:c>
      <x:c r="C24" s="44" t="str">
        <x:v>9:16 + 4:5 by angle</x:v>
      </x:c>
      <x:c r="D24" s="48" t="n">
        <x:v>46238</x:v>
      </x:c>
      <x:c r="E24" s="48" t="n">
        <x:v>46240</x:v>
      </x:c>
      <x:c r="F24" s="48" t="n">
        <x:v>46241</x:v>
      </x:c>
      <x:c r="G24" s="48" t="n">
        <x:v>46243</x:v>
      </x:c>
      <x:c r="H24" s="59" t="str">
        <x:v>Paid Media Lead</x:v>
      </x:c>
      <x:c r="I24" s="59" t="str">
        <x:v>Marketing Lead</x:v>
      </x:c>
      <x:c r="J24" s="59" t="str">
        <x:v>Not Started</x:v>
      </x:c>
      <x:c r="K24" s="44" t="str">
        <x:v>Hero, bundle, trust and urgency assets</x:v>
      </x:c>
      <x:c r="L24" s="59" t="str"/>
    </x:row>
    <x:row r="25" ht="46" customHeight="1">
      <x:c r="A25" s="44" t="str">
        <x:v>P-021</x:v>
      </x:c>
      <x:c r="B25" s="44" t="str">
        <x:v>WhatsApp auto-reply + scripts</x:v>
      </x:c>
      <x:c r="C25" s="44" t="str">
        <x:v>Master + branch names</x:v>
      </x:c>
      <x:c r="D25" s="48" t="n">
        <x:v>46238</x:v>
      </x:c>
      <x:c r="E25" s="48" t="n">
        <x:v>46239</x:v>
      </x:c>
      <x:c r="F25" s="48" t="n">
        <x:v>46240</x:v>
      </x:c>
      <x:c r="G25" s="48" t="n">
        <x:v>46243</x:v>
      </x:c>
      <x:c r="H25" s="59" t="str">
        <x:v>CRM Team</x:v>
      </x:c>
      <x:c r="I25" s="59" t="str">
        <x:v>Clinical Reviewer</x:v>
      </x:c>
      <x:c r="J25" s="59" t="str">
        <x:v>Not Started</x:v>
      </x:c>
      <x:c r="K25" s="44" t="str">
        <x:v>Terms + routing</x:v>
      </x:c>
      <x:c r="L25" s="59" t="str"/>
    </x:row>
    <x:row r="26" ht="46" customHeight="1">
      <x:c r="A26" s="44" t="str">
        <x:v>P-022</x:v>
      </x:c>
      <x:c r="B26" s="44" t="str">
        <x:v>Tracking and dashboard setup</x:v>
      </x:c>
      <x:c r="C26" s="44" t="str">
        <x:v>Campaign + branch labels</x:v>
      </x:c>
      <x:c r="D26" s="48" t="n">
        <x:v>46238</x:v>
      </x:c>
      <x:c r="E26" s="48" t="n">
        <x:v>46239</x:v>
      </x:c>
      <x:c r="F26" s="48" t="n">
        <x:v>46240</x:v>
      </x:c>
      <x:c r="G26" s="48" t="n">
        <x:v>46241</x:v>
      </x:c>
      <x:c r="H26" s="59" t="str">
        <x:v>Paid Media Lead</x:v>
      </x:c>
      <x:c r="I26" s="59" t="str">
        <x:v>Marketing Lead</x:v>
      </x:c>
      <x:c r="J26" s="59" t="str">
        <x:v>Not Started</x:v>
      </x:c>
      <x:c r="K26" s="44" t="str">
        <x:v>AZ26 naming convention</x:v>
      </x:c>
      <x:c r="L26" s="59" t="str"/>
    </x:row>
  </x:sheetData>
  <x:mergeCells>
    <x:mergeCell ref="A1:L1"/>
    <x:mergeCell ref="A2:L2"/>
  </x:mergeCells>
  <x:conditionalFormatting sqref="J5:J26">
    <x:cfRule type="containsText" dxfId="12" priority="1" operator="containsText" text="Not Started"/>
    <x:cfRule type="containsText" dxfId="13" priority="2" operator="containsText" text="In Production"/>
    <x:cfRule type="containsText" dxfId="14" priority="3" operator="containsText" text="Internal Review"/>
    <x:cfRule type="containsText" dxfId="15" priority="4" operator="containsText" text="Approved"/>
    <x:cfRule type="containsText" dxfId="16" priority="5" operator="containsText" text="Scheduled"/>
    <x:cfRule type="containsText" dxfId="17" priority="6" operator="containsText" text="Published"/>
    <x:cfRule type="containsText" dxfId="18" priority="7" operator="containsText" text="Hold"/>
  </x:conditionalFormatting>
  <x:dataValidations count="3">
    <x:dataValidation type="list" sqref="H5:H26">
      <x:formula1>"Marketing Lead,Social Media Manager,Copywriter,Designer,Video Editor,Paid Media Lead,CRM Team,Creator Manager,Branch Manager,Clinical Reviewer,Finance Reviewer"</x:formula1>
    </x:dataValidation>
    <x:dataValidation type="list" sqref="I5:I26">
      <x:formula1>"Marketing Lead,Social Media Manager,Copywriter,Designer,Video Editor,Paid Media Lead,CRM Team,Creator Manager,Branch Manager,Clinical Reviewer,Finance Reviewer"</x:formula1>
    </x:dataValidation>
    <x:dataValidation type="list" sqref="J5:J26">
      <x:formula1>"Not Started,In Production,Internal Review,Approved,Scheduled,Published,Hold"</x:formula1>
    </x:dataValidation>
  </x:dataValidations>
  <x:pageMargins left="0.7" right="0.7" top="0.75" bottom="0.75" header="0.3" footer="0.3"/>
  <x:legacyDrawing xmlns:r="http://schemas.openxmlformats.org/officeDocument/2006/relationships" r:id="Raff2d3a2a5944797"/>
  <x:tableParts count="1">
    <x:tablePart xmlns:r="http://schemas.openxmlformats.org/officeDocument/2006/relationships" r:id="R0ccf3c5574d74b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34" hidden="0" customWidth="1"/>
    <x:col min="4" max="4" width="66" hidden="0" customWidth="1"/>
    <x:col min="5" max="5" width="30" hidden="0" customWidth="1"/>
    <x:col min="6" max="6" width="38" hidden="0" customWidth="1"/>
    <x:col min="7" max="7" width="34" hidden="0" customWidth="1"/>
  </x:cols>
  <x:sheetData>
    <x:row r="1" ht="32" customHeight="1">
      <x:c r="A1" s="4" t="str">
        <x:v>READY-TO-USE COPY BANK</x:v>
      </x:c>
      <x:c r="B1" s="4" t="str">
        <x:v>READY-TO-USE COPY BANK</x:v>
      </x:c>
      <x:c r="C1" s="4" t="str">
        <x:v>READY-TO-USE COPY BANK</x:v>
      </x:c>
      <x:c r="D1" s="4" t="str">
        <x:v>READY-TO-USE COPY BANK</x:v>
      </x:c>
      <x:c r="E1" s="4" t="str">
        <x:v>READY-TO-USE COPY BANK</x:v>
      </x:c>
      <x:c r="F1" s="4" t="str">
        <x:v>READY-TO-USE COPY BANK</x:v>
      </x:c>
      <x:c r="G1" s="4" t="str">
        <x:v>READY-TO-USE COPY BANK</x:v>
      </x:c>
    </x:row>
    <x:row r="2" ht="24" customHeight="1">
      <x:c r="A2" s="8" t="str">
        <x:v>Final prices, eligible treatments, branch names and closing time must be inserted before publishing</x:v>
      </x:c>
      <x:c r="B2" s="8" t="str">
        <x:v>Final prices, eligible treatments, branch names and closing time must be inserted before publishing</x:v>
      </x:c>
      <x:c r="C2" s="8" t="str">
        <x:v>Final prices, eligible treatments, branch names and closing time must be inserted before publishing</x:v>
      </x:c>
      <x:c r="D2" s="8" t="str">
        <x:v>Final prices, eligible treatments, branch names and closing time must be inserted before publishing</x:v>
      </x:c>
      <x:c r="E2" s="8" t="str">
        <x:v>Final prices, eligible treatments, branch names and closing time must be inserted before publishing</x:v>
      </x:c>
      <x:c r="F2" s="8" t="str">
        <x:v>Final prices, eligible treatments, branch names and closing time must be inserted before publishing</x:v>
      </x:c>
      <x:c r="G2" s="8" t="str">
        <x:v>Final prices, eligible treatments, branch names and closing time must be inserted before publishing</x:v>
      </x:c>
    </x:row>
    <x:row r="4" ht="30" customHeight="1">
      <x:c r="A4" s="37" t="str">
        <x:v>Date / Use</x:v>
      </x:c>
      <x:c r="B4" s="37" t="str">
        <x:v>Asset</x:v>
      </x:c>
      <x:c r="C4" s="37" t="str">
        <x:v>Hook</x:v>
      </x:c>
      <x:c r="D4" s="37" t="str">
        <x:v>Caption / Script</x:v>
      </x:c>
      <x:c r="E4" s="37" t="str">
        <x:v>CTA</x:v>
      </x:c>
      <x:c r="F4" s="37" t="str">
        <x:v>On-Screen Text</x:v>
      </x:c>
      <x:c r="G4" s="37" t="str">
        <x:v>Compliance Note</x:v>
      </x:c>
    </x:row>
    <x:row r="5" ht="72" customHeight="1">
      <x:c r="A5" s="43" t="str">
        <x:v>7 Aug</x:v>
      </x:c>
      <x:c r="B5" s="43" t="str">
        <x:v>Teaser Reel</x:v>
      </x:c>
      <x:c r="C5" s="43" t="str">
        <x:v>One week. One Venus event.</x:v>
      </x:c>
      <x:c r="D5" s="43" t="str">
        <x:v>Something premium is about to open at Venus Aesthetics. Full reveal on 9 August.</x:v>
      </x:c>
      <x:c r="E5" s="43" t="str">
        <x:v>Turn on the countdown</x:v>
      </x:c>
      <x:c r="F5" s="43" t="str">
        <x:v>7 DAYS | ONE VENUS EVENT | 10.08.26</x:v>
      </x:c>
      <x:c r="G5" s="60" t="str">
        <x:v>No offer details yet</x:v>
      </x:c>
    </x:row>
    <x:row r="6" ht="72" customHeight="1">
      <x:c r="A6" s="44" t="str">
        <x:v>8 Aug</x:v>
      </x:c>
      <x:c r="B6" s="44" t="str">
        <x:v>Category Teaser</x:v>
      </x:c>
      <x:c r="C6" s="44" t="str">
        <x:v>Skin. Laser. Hair. Body.</x:v>
      </x:c>
      <x:c r="D6" s="44" t="str">
        <x:v>Which Venus plan would you choose? Selected treatment categories are joining Azadi Glow Week. Full reveal tomorrow.</x:v>
      </x:c>
      <x:c r="E6" s="44" t="str">
        <x:v>Reply AZADI + city</x:v>
      </x:c>
      <x:c r="F6" s="44" t="str">
        <x:v>FULL REVEAL TOMORROW</x:v>
      </x:c>
      <x:c r="G6" s="61" t="str">
        <x:v>No unapproved prices</x:v>
      </x:c>
    </x:row>
    <x:row r="7" ht="72" customHeight="1">
      <x:c r="A7" s="44" t="str">
        <x:v>9 Aug</x:v>
      </x:c>
      <x:c r="B7" s="44" t="str">
        <x:v>Full Reveal</x:v>
      </x:c>
      <x:c r="C7" s="44" t="str">
        <x:v>AZADI GLOW WEEK | 10-16 AUGUST</x:v>
      </x:c>
      <x:c r="D7" s="44" t="str">
        <x:v>Up to 50% savings on selected Venus treatment bundles, plus flat 20% off eligible individual treatments. Seven days only.</x:v>
      </x:c>
      <x:c r="E7" s="44" t="str">
        <x:v>Message AZADI + city</x:v>
      </x:c>
      <x:c r="F7" s="44" t="str">
        <x:v>UP TO 50% BUNDLE SAVINGS + FLAT 20% OFF ELIGIBLE TREATMENTS</x:v>
      </x:c>
      <x:c r="G7" s="61" t="str">
        <x:v>Terms apply</x:v>
      </x:c>
    </x:row>
    <x:row r="8" ht="72" customHeight="1">
      <x:c r="A8" s="44" t="str">
        <x:v>10 Aug</x:v>
      </x:c>
      <x:c r="B8" s="44" t="str">
        <x:v>Launch</x:v>
      </x:c>
      <x:c r="C8" s="44" t="str">
        <x:v>Azadi Glow Week is live.</x:v>
      </x:c>
      <x:c r="D8" s="44" t="str">
        <x:v>Choose a higher-saving approved bundle or save 20% on an eligible individual treatment. Available 10-16 August only.</x:v>
      </x:c>
      <x:c r="E8" s="44" t="str">
        <x:v>Book on WhatsApp</x:v>
      </x:c>
      <x:c r="F8" s="44" t="str">
        <x:v>NOW LIVE | 10-16 AUGUST</x:v>
      </x:c>
      <x:c r="G8" s="61" t="str">
        <x:v>Availability and terms apply</x:v>
      </x:c>
    </x:row>
    <x:row r="9" ht="72" customHeight="1">
      <x:c r="A9" s="44" t="str">
        <x:v>11 Aug</x:v>
      </x:c>
      <x:c r="B9" s="44" t="str">
        <x:v>Bundle Value</x:v>
      </x:c>
      <x:c r="C9" s="44" t="str">
        <x:v>More planning. More value.</x:v>
      </x:c>
      <x:c r="D9" s="44" t="str">
        <x:v>Explore selected Venus bundles with savings of up to 50% this Azadi Glow Week. Ask us which approved plan matches your interest.</x:v>
      </x:c>
      <x:c r="E9" s="44" t="str">
        <x:v>Tell us your goal and city</x:v>
      </x:c>
      <x:c r="F9" s="44" t="str">
        <x:v>SAVE MORE WITH SELECTED BUNDLES</x:v>
      </x:c>
      <x:c r="G9" s="61" t="str">
        <x:v>Show exact saving per bundle</x:v>
      </x:c>
    </x:row>
    <x:row r="10" ht="72" customHeight="1">
      <x:c r="A10" s="44" t="str">
        <x:v>12 Aug</x:v>
      </x:c>
      <x:c r="B10" s="44" t="str">
        <x:v>20% Treatment</x:v>
      </x:c>
      <x:c r="C10" s="44" t="str">
        <x:v>Prefer a single treatment?</x:v>
      </x:c>
      <x:c r="D10" s="44" t="str">
        <x:v>Flat 20% off eligible individual treatments is available this week. Ask us if your preferred service is included.</x:v>
      </x:c>
      <x:c r="E10" s="44" t="str">
        <x:v>Ask if yours is included</x:v>
      </x:c>
      <x:c r="F10" s="44" t="str">
        <x:v>FLAT 20% OFF ELIGIBLE TREATMENTS</x:v>
      </x:c>
      <x:c r="G10" s="61" t="str">
        <x:v>Do not imply every treatment</x:v>
      </x:c>
    </x:row>
    <x:row r="11" ht="72" customHeight="1">
      <x:c r="A11" s="44" t="str">
        <x:v>13 Aug</x:v>
      </x:c>
      <x:c r="B11" s="44" t="str">
        <x:v>Doctor FAQ</x:v>
      </x:c>
      <x:c r="C11" s="44" t="str">
        <x:v>The right treatment starts with the right guidance.</x:v>
      </x:c>
      <x:c r="D11" s="44" t="str">
        <x:v>Speak to a Venus advisor about eligibility, consultation and the approved offer for you.</x:v>
      </x:c>
      <x:c r="E11" s="44" t="str">
        <x:v>Book a consultation</x:v>
      </x:c>
      <x:c r="F11" s="44" t="str">
        <x:v>ASK VENUS | DOCTOR FAQ</x:v>
      </x:c>
      <x:c r="G11" s="61" t="str">
        <x:v>Results and suitability vary</x:v>
      </x:c>
    </x:row>
    <x:row r="12" ht="72" customHeight="1">
      <x:c r="A12" s="44" t="str">
        <x:v>14 Aug</x:v>
      </x:c>
      <x:c r="B12" s="44" t="str">
        <x:v>Independence Hero</x:v>
      </x:c>
      <x:c r="C12" s="44" t="str">
        <x:v>Freedom to choose care that feels right for you.</x:v>
      </x:c>
      <x:c r="D12" s="44" t="str">
        <x:v>This Independence Day, celebrate your choice with Venus Aesthetics. Azadi Glow Week continues until 16 August.</x:v>
      </x:c>
      <x:c r="E12" s="44" t="str">
        <x:v>Book by 16 August</x:v>
      </x:c>
      <x:c r="F12" s="44" t="str">
        <x:v>CELEBRATE YOUR CHOICE</x:v>
      </x:c>
      <x:c r="G12" s="61" t="str">
        <x:v>Use minimal patriotic styling</x:v>
      </x:c>
    </x:row>
    <x:row r="13" ht="72" customHeight="1">
      <x:c r="A13" s="44" t="str">
        <x:v>15 Aug</x:v>
      </x:c>
      <x:c r="B13" s="44" t="str">
        <x:v>48-hour Finale</x:v>
      </x:c>
      <x:c r="C13" s="44" t="str">
        <x:v>48-Hour Flash Finale.</x:v>
      </x:c>
      <x:c r="D13" s="44" t="str">
        <x:v>Azadi Glow Week ends Sunday. Message AZADI + your city before the closing time.</x:v>
      </x:c>
      <x:c r="E13" s="44" t="str">
        <x:v>Message AZADI + city</x:v>
      </x:c>
      <x:c r="F13" s="44" t="str">
        <x:v>48 HOURS LEFT</x:v>
      </x:c>
      <x:c r="G13" s="61" t="str">
        <x:v>No false capacity claims</x:v>
      </x:c>
    </x:row>
    <x:row r="14" ht="72" customHeight="1">
      <x:c r="A14" s="44" t="str">
        <x:v>16 Aug</x:v>
      </x:c>
      <x:c r="B14" s="44" t="str">
        <x:v>Final Day</x:v>
      </x:c>
      <x:c r="C14" s="44" t="str">
        <x:v>Final day.</x:v>
      </x:c>
      <x:c r="D14" s="44" t="str">
        <x:v>Complete your approved Venus booking today to use the Azadi Glow Week offer. Terms and availability apply.</x:v>
      </x:c>
      <x:c r="E14" s="44" t="str">
        <x:v>Book before closing time</x:v>
      </x:c>
      <x:c r="F14" s="44" t="str">
        <x:v>ENDS TONIGHT</x:v>
      </x:c>
      <x:c r="G14" s="61" t="str">
        <x:v>State exact closing time</x:v>
      </x:c>
    </x:row>
    <x:row r="15" ht="72" customHeight="1">
      <x:c r="A15" s="44" t="str">
        <x:v>CRM</x:v>
      </x:c>
      <x:c r="B15" s="44" t="str">
        <x:v>Auto-reply</x:v>
      </x:c>
      <x:c r="C15" s="44" t="str">
        <x:v>Thank you for contacting Venus Aesthetics.</x:v>
      </x:c>
      <x:c r="D15" s="44" t="str">
        <x:v>Azadi Glow Week runs 10-16 August. Please reply with your city, treatment or concern, and preferred appointment day. An advisor will respond shortly.</x:v>
      </x:c>
      <x:c r="E15" s="44" t="str">
        <x:v>Reply with 3 details</x:v>
      </x:c>
      <x:c r="F15" s="44" t="str"/>
      <x:c r="G15" s="61" t="str">
        <x:v>Do not request medical history in chat</x:v>
      </x:c>
    </x:row>
    <x:row r="16" ht="72" customHeight="1">
      <x:c r="A16" s="44" t="str">
        <x:v>CRM</x:v>
      </x:c>
      <x:c r="B16" s="44" t="str">
        <x:v>Advisor Opening</x:v>
      </x:c>
      <x:c r="C16" s="44" t="str">
        <x:v>Hi [Name], I'm [Advisor] from Venus Aesthetics [Branch].</x:v>
      </x:c>
      <x:c r="D16" s="44" t="str">
        <x:v>Based on your interest in [Category], I can explain the eligible individual treatment or approved bundle with the stronger saving. Have you visited Venus before?</x:v>
      </x:c>
      <x:c r="E16" s="44" t="str">
        <x:v>Confirm city and visit status</x:v>
      </x:c>
      <x:c r="F16" s="44" t="str"/>
      <x:c r="G16" s="61" t="str">
        <x:v>No diagnosis / guaranteed result</x:v>
      </x:c>
    </x:row>
    <x:row r="17" ht="72" customHeight="1">
      <x:c r="A17" s="44" t="str">
        <x:v>Branch</x:v>
      </x:c>
      <x:c r="B17" s="44" t="str">
        <x:v>Front-desk Script</x:v>
      </x:c>
      <x:c r="C17" s="44" t="str">
        <x:v>Azadi Glow Week runs 10-16 August.</x:v>
      </x:c>
      <x:c r="D17" s="44" t="str">
        <x:v>We have up to 50% savings on selected approved bundles and 20% off eligible individual treatments. Which treatment or concern would you like to discuss?</x:v>
      </x:c>
      <x:c r="E17" s="44" t="str">
        <x:v>Check relevant option and availability</x:v>
      </x:c>
      <x:c r="F17" s="44" t="str"/>
      <x:c r="G17" s="61" t="str">
        <x:v>Use approved price sheet only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018215869774677"/>
  </x:tableParts>
</x:worksheet>
</file>